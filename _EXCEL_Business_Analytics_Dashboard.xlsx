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nmanoh\Downloads\"/>
    </mc:Choice>
  </mc:AlternateContent>
  <xr:revisionPtr revIDLastSave="0" documentId="13_ncr:1_{40B4BA8E-82D8-4B7F-A3B3-10552287CF6D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Dashboard" sheetId="1" r:id="rId1"/>
    <sheet name="Sales Data" sheetId="2" r:id="rId2"/>
    <sheet name="Product Look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F16" i="3"/>
  <c r="F15" i="3"/>
  <c r="F14" i="3"/>
  <c r="F13" i="3"/>
  <c r="F12" i="3"/>
  <c r="F11" i="3"/>
  <c r="F10" i="3"/>
  <c r="I9" i="3"/>
  <c r="F9" i="3"/>
  <c r="I8" i="3"/>
  <c r="F8" i="3"/>
  <c r="I7" i="3"/>
  <c r="F7" i="3"/>
  <c r="I6" i="3"/>
  <c r="F6" i="3"/>
  <c r="I5" i="3"/>
  <c r="F5" i="3"/>
  <c r="F4" i="3"/>
  <c r="F3" i="3"/>
  <c r="F2" i="3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0" i="1"/>
  <c r="J29" i="1"/>
  <c r="J28" i="1"/>
  <c r="J27" i="1"/>
  <c r="J24" i="1"/>
  <c r="J23" i="1"/>
  <c r="J22" i="1"/>
  <c r="J21" i="1"/>
  <c r="J18" i="1"/>
  <c r="J17" i="1"/>
  <c r="J16" i="1"/>
  <c r="J15" i="1"/>
  <c r="J14" i="1"/>
  <c r="D14" i="1"/>
  <c r="B14" i="1"/>
  <c r="J13" i="1"/>
  <c r="J12" i="1"/>
  <c r="J11" i="1"/>
  <c r="D11" i="1"/>
  <c r="B11" i="1"/>
  <c r="F14" i="1" s="1"/>
  <c r="J10" i="1"/>
  <c r="J9" i="1"/>
  <c r="J8" i="1"/>
  <c r="J7" i="1"/>
  <c r="F11" i="1" l="1"/>
</calcChain>
</file>

<file path=xl/sharedStrings.xml><?xml version="1.0" encoding="utf-8"?>
<sst xmlns="http://schemas.openxmlformats.org/spreadsheetml/2006/main" count="315" uniqueCount="80">
  <si>
    <t>Business Analytics Dashboard — FY2025 Sales Performance</t>
  </si>
  <si>
    <t>Interactive sales overview across Region, Category and Time (sample/dummy data)</t>
  </si>
  <si>
    <t>Pivot-style Summary Tables (feed the charts below)</t>
  </si>
  <si>
    <t>FILTERS</t>
  </si>
  <si>
    <t>Change the dropdown values above (Region / Category / Month) — every KPI, table and chart recalculates instantly, like a slicer.</t>
  </si>
  <si>
    <t>Region</t>
  </si>
  <si>
    <t>All</t>
  </si>
  <si>
    <t>Month</t>
  </si>
  <si>
    <t>Revenue</t>
  </si>
  <si>
    <t>Category</t>
  </si>
  <si>
    <t>Jan</t>
  </si>
  <si>
    <t>Feb</t>
  </si>
  <si>
    <t>Mar</t>
  </si>
  <si>
    <t>Total Revenue</t>
  </si>
  <si>
    <t>Total Profit</t>
  </si>
  <si>
    <t>Margin %</t>
  </si>
  <si>
    <t>Apr</t>
  </si>
  <si>
    <t>May</t>
  </si>
  <si>
    <t>Jun</t>
  </si>
  <si>
    <t>Total Orders</t>
  </si>
  <si>
    <t>Total Units</t>
  </si>
  <si>
    <t>Avg Order Value</t>
  </si>
  <si>
    <t>Jul</t>
  </si>
  <si>
    <t>Aug</t>
  </si>
  <si>
    <t>Sep</t>
  </si>
  <si>
    <t>Oct</t>
  </si>
  <si>
    <t>Nov</t>
  </si>
  <si>
    <t>Dec</t>
  </si>
  <si>
    <t>North</t>
  </si>
  <si>
    <t>South</t>
  </si>
  <si>
    <t>East</t>
  </si>
  <si>
    <t>West</t>
  </si>
  <si>
    <t>Electronics</t>
  </si>
  <si>
    <t>Furniture</t>
  </si>
  <si>
    <t>Apparel</t>
  </si>
  <si>
    <t>Groceries</t>
  </si>
  <si>
    <t>Product</t>
  </si>
  <si>
    <t>Wireless Earbuds</t>
  </si>
  <si>
    <t>Smart Watch</t>
  </si>
  <si>
    <t>Bluetooth Speaker</t>
  </si>
  <si>
    <t>Laptop Stand</t>
  </si>
  <si>
    <t>Office Chair</t>
  </si>
  <si>
    <t>Study Desk</t>
  </si>
  <si>
    <t>Bookshelf</t>
  </si>
  <si>
    <t>Sofa Cover</t>
  </si>
  <si>
    <t>Cotton T-Shirt</t>
  </si>
  <si>
    <t>Denim Jacket</t>
  </si>
  <si>
    <t>Running Shoes</t>
  </si>
  <si>
    <t>Winter Hoodie</t>
  </si>
  <si>
    <t>Organic Almonds</t>
  </si>
  <si>
    <t>Green Tea Pack</t>
  </si>
  <si>
    <t>Olive Oil 1L</t>
  </si>
  <si>
    <t>Basmati Rice 5kg</t>
  </si>
  <si>
    <t>Order ID</t>
  </si>
  <si>
    <t>Date</t>
  </si>
  <si>
    <t>Units Sold</t>
  </si>
  <si>
    <t>Unit Price</t>
  </si>
  <si>
    <t>Cost</t>
  </si>
  <si>
    <t>Profit</t>
  </si>
  <si>
    <t>Product ID</t>
  </si>
  <si>
    <t>Product Name</t>
  </si>
  <si>
    <t>Unit Cost</t>
  </si>
  <si>
    <t>Product Lookup Tool</t>
  </si>
  <si>
    <t>P001</t>
  </si>
  <si>
    <t>P002</t>
  </si>
  <si>
    <t>Enter Product ID: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</si>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</sst>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dd\-mmm\-yy"/>
  </numFmts>
  <fonts count="13" x14ac:knownFonts="1">
    <font>
      <sz val="11"/>
      <color theme="1"/>
      <name val="Calibri"/>
      <family val="2"/>
      <charset val="1"/>
    </font>
    <font>
      <b/>
      <sz val="18"/>
      <color rgb="FF1F3864"/>
      <name val="Arial"/>
      <family val="2"/>
    </font>
    <font>
      <i/>
      <sz val="10"/>
      <color rgb="FF7F7F7F"/>
      <name val="Arial"/>
      <family val="2"/>
    </font>
    <font>
      <i/>
      <sz val="9"/>
      <color rgb="FF7F7F7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6"/>
      <color rgb="FF1F3864"/>
      <name val="Arial"/>
      <family val="2"/>
    </font>
    <font>
      <b/>
      <sz val="13"/>
      <color rgb="FF1F3864"/>
      <name val="Arial"/>
      <family val="2"/>
    </font>
    <font>
      <b/>
      <sz val="11"/>
      <name val="Arial"/>
      <family val="2"/>
    </font>
    <font>
      <b/>
      <sz val="11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B8C6E0"/>
      </left>
      <right style="thin">
        <color rgb="FFB8C6E0"/>
      </right>
      <top style="thin">
        <color rgb="FFB8C6E0"/>
      </top>
      <bottom style="thin">
        <color rgb="FFB8C6E0"/>
      </bottom>
      <diagonal/>
    </border>
    <border>
      <left/>
      <right style="thin">
        <color rgb="FFB8C6E0"/>
      </right>
      <top style="thin">
        <color rgb="FFB8C6E0"/>
      </top>
      <bottom/>
      <diagonal/>
    </border>
    <border>
      <left/>
      <right style="thin">
        <color rgb="FFB8C6E0"/>
      </right>
      <top style="thin">
        <color rgb="FFB8C6E0"/>
      </top>
      <bottom style="thin">
        <color rgb="FFB8C6E0"/>
      </bottom>
      <diagonal/>
    </border>
    <border>
      <left style="thin">
        <color rgb="FFB8C6E0"/>
      </left>
      <right/>
      <top/>
      <bottom style="thin">
        <color rgb="FFB8C6E0"/>
      </bottom>
      <diagonal/>
    </border>
    <border>
      <left/>
      <right style="thin">
        <color rgb="FFB8C6E0"/>
      </right>
      <top/>
      <bottom style="thin">
        <color rgb="FFB8C6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3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3" fontId="8" fillId="0" borderId="1" xfId="0" applyNumberFormat="1" applyFont="1" applyBorder="1"/>
    <xf numFmtId="0" fontId="4" fillId="2" borderId="0" xfId="0" applyFont="1" applyFill="1" applyAlignment="1">
      <alignment horizontal="center" vertical="center"/>
    </xf>
    <xf numFmtId="0" fontId="8" fillId="6" borderId="0" xfId="0" applyFont="1" applyFill="1"/>
    <xf numFmtId="166" fontId="8" fillId="6" borderId="0" xfId="0" applyNumberFormat="1" applyFont="1" applyFill="1"/>
    <xf numFmtId="165" fontId="8" fillId="6" borderId="0" xfId="0" applyNumberFormat="1" applyFont="1" applyFill="1"/>
    <xf numFmtId="0" fontId="8" fillId="0" borderId="0" xfId="0" applyFont="1"/>
    <xf numFmtId="166" fontId="8" fillId="0" borderId="0" xfId="0" applyNumberFormat="1" applyFont="1"/>
    <xf numFmtId="165" fontId="8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8" fillId="6" borderId="1" xfId="0" applyFont="1" applyFill="1" applyBorder="1"/>
    <xf numFmtId="164" fontId="8" fillId="6" borderId="1" xfId="0" applyNumberFormat="1" applyFont="1" applyFill="1" applyBorder="1"/>
    <xf numFmtId="165" fontId="8" fillId="6" borderId="1" xfId="0" applyNumberFormat="1" applyFont="1" applyFill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11" fillId="0" borderId="0" xfId="0" applyFont="1"/>
    <xf numFmtId="0" fontId="12" fillId="4" borderId="1" xfId="0" applyFont="1" applyFill="1" applyBorder="1"/>
    <xf numFmtId="0" fontId="11" fillId="3" borderId="1" xfId="0" applyFont="1" applyFill="1" applyBorder="1"/>
    <xf numFmtId="0" fontId="3" fillId="0" borderId="0" xfId="0" applyFont="1"/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0" fontId="0" fillId="0" borderId="3" xfId="0" applyBorder="1"/>
    <xf numFmtId="0" fontId="4" fillId="2" borderId="0" xfId="0" applyFont="1" applyFill="1" applyAlignment="1">
      <alignment horizontal="center"/>
    </xf>
    <xf numFmtId="164" fontId="9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left" vertical="center"/>
    </xf>
    <xf numFmtId="165" fontId="9" fillId="3" borderId="1" xfId="0" applyNumberFormat="1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008080"/>
      <rgbColor rgb="FFB8C6E0"/>
      <rgbColor rgb="FF7F7F7F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Dashboard!$J$6</c:f>
              <c:strCache>
                <c:ptCount val="1"/>
                <c:pt idx="0">
                  <c:v>Revenue</c:v>
                </c:pt>
              </c:strCache>
            </c:strRef>
          </c:tx>
          <c:spPr>
            <a:ln w="24840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Dashboard!$I$7:$I$18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Dashboard!$J$7:$J$18</c:f>
              <c:numCache>
                <c:formatCode>#,##0</c:formatCode>
                <c:ptCount val="12"/>
                <c:pt idx="0">
                  <c:v>131551</c:v>
                </c:pt>
                <c:pt idx="1">
                  <c:v>153971</c:v>
                </c:pt>
                <c:pt idx="2">
                  <c:v>110719</c:v>
                </c:pt>
                <c:pt idx="3">
                  <c:v>123532</c:v>
                </c:pt>
                <c:pt idx="4">
                  <c:v>187091</c:v>
                </c:pt>
                <c:pt idx="5">
                  <c:v>70735</c:v>
                </c:pt>
                <c:pt idx="6">
                  <c:v>246479</c:v>
                </c:pt>
                <c:pt idx="7">
                  <c:v>121059</c:v>
                </c:pt>
                <c:pt idx="8">
                  <c:v>101939</c:v>
                </c:pt>
                <c:pt idx="9">
                  <c:v>232425</c:v>
                </c:pt>
                <c:pt idx="10">
                  <c:v>120236</c:v>
                </c:pt>
                <c:pt idx="11">
                  <c:v>139031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A-4C63-B0D5-C632D58DF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47011130"/>
        <c:axId val="95978285"/>
      </c:lineChart>
      <c:catAx>
        <c:axId val="47011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978285"/>
        <c:crosses val="autoZero"/>
        <c:auto val="1"/>
        <c:lblAlgn val="ctr"/>
        <c:lblOffset val="100"/>
        <c:noMultiLvlLbl val="0"/>
      </c:catAx>
      <c:valAx>
        <c:axId val="95978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1113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Dashboard!$I$21:$I$24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Dashboard!$J$21:$J$24</c:f>
              <c:numCache>
                <c:formatCode>#,##0</c:formatCode>
                <c:ptCount val="4"/>
                <c:pt idx="0">
                  <c:v>351250</c:v>
                </c:pt>
                <c:pt idx="1">
                  <c:v>290027</c:v>
                </c:pt>
                <c:pt idx="2">
                  <c:v>620879</c:v>
                </c:pt>
                <c:pt idx="3">
                  <c:v>476612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C-4F31-821C-63B196470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50804"/>
        <c:axId val="25717066"/>
      </c:barChart>
      <c:catAx>
        <c:axId val="366508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17066"/>
        <c:crosses val="autoZero"/>
        <c:auto val="1"/>
        <c:lblAlgn val="ctr"/>
        <c:lblOffset val="100"/>
        <c:noMultiLvlLbl val="0"/>
      </c:catAx>
      <c:valAx>
        <c:axId val="257170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5080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Dashboard!$J$26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F66-4AD0-AA05-783625C8616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F66-4AD0-AA05-783625C8616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F66-4AD0-AA05-783625C8616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F66-4AD0-AA05-783625C8616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F66-4AD0-AA05-783625C8616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F66-4AD0-AA05-783625C8616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F66-4AD0-AA05-783625C8616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F66-4AD0-AA05-783625C861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Dashboard!$I$27:$I$30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Apparel</c:v>
                </c:pt>
                <c:pt idx="3">
                  <c:v>Groceries</c:v>
                </c:pt>
              </c:strCache>
            </c:strRef>
          </c:cat>
          <c:val>
            <c:numRef>
              <c:f>Dashboard!$J$27:$J$30</c:f>
              <c:numCache>
                <c:formatCode>#,##0</c:formatCode>
                <c:ptCount val="4"/>
                <c:pt idx="0">
                  <c:v>583423</c:v>
                </c:pt>
                <c:pt idx="1">
                  <c:v>784208</c:v>
                </c:pt>
                <c:pt idx="2">
                  <c:v>294600</c:v>
                </c:pt>
                <c:pt idx="3">
                  <c:v>76537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66-4AD0-AA05-783625C86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Products by Revenue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Dashboard!$J$32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Dashboard!$I$33:$I$48</c:f>
              <c:strCache>
                <c:ptCount val="16"/>
                <c:pt idx="0">
                  <c:v>Wireless Earbuds</c:v>
                </c:pt>
                <c:pt idx="1">
                  <c:v>Smart Watch</c:v>
                </c:pt>
                <c:pt idx="2">
                  <c:v>Bluetooth Speaker</c:v>
                </c:pt>
                <c:pt idx="3">
                  <c:v>Laptop Stand</c:v>
                </c:pt>
                <c:pt idx="4">
                  <c:v>Office Chair</c:v>
                </c:pt>
                <c:pt idx="5">
                  <c:v>Study Desk</c:v>
                </c:pt>
                <c:pt idx="6">
                  <c:v>Bookshelf</c:v>
                </c:pt>
                <c:pt idx="7">
                  <c:v>Sofa Cover</c:v>
                </c:pt>
                <c:pt idx="8">
                  <c:v>Cotton T-Shirt</c:v>
                </c:pt>
                <c:pt idx="9">
                  <c:v>Denim Jacket</c:v>
                </c:pt>
                <c:pt idx="10">
                  <c:v>Running Shoes</c:v>
                </c:pt>
                <c:pt idx="11">
                  <c:v>Winter Hoodie</c:v>
                </c:pt>
                <c:pt idx="12">
                  <c:v>Organic Almonds</c:v>
                </c:pt>
                <c:pt idx="13">
                  <c:v>Green Tea Pack</c:v>
                </c:pt>
                <c:pt idx="14">
                  <c:v>Olive Oil 1L</c:v>
                </c:pt>
                <c:pt idx="15">
                  <c:v>Basmati Rice 5kg</c:v>
                </c:pt>
              </c:strCache>
            </c:strRef>
          </c:cat>
          <c:val>
            <c:numRef>
              <c:f>Dashboard!$J$33:$J$48</c:f>
              <c:numCache>
                <c:formatCode>#,##0</c:formatCode>
                <c:ptCount val="16"/>
                <c:pt idx="0">
                  <c:v>68954</c:v>
                </c:pt>
                <c:pt idx="1">
                  <c:v>374393</c:v>
                </c:pt>
                <c:pt idx="2">
                  <c:v>51974</c:v>
                </c:pt>
                <c:pt idx="3">
                  <c:v>88102</c:v>
                </c:pt>
                <c:pt idx="4">
                  <c:v>324950</c:v>
                </c:pt>
                <c:pt idx="5">
                  <c:v>263956</c:v>
                </c:pt>
                <c:pt idx="6">
                  <c:v>112166</c:v>
                </c:pt>
                <c:pt idx="7">
                  <c:v>83136</c:v>
                </c:pt>
                <c:pt idx="8">
                  <c:v>41930</c:v>
                </c:pt>
                <c:pt idx="9">
                  <c:v>123144</c:v>
                </c:pt>
                <c:pt idx="10">
                  <c:v>23992</c:v>
                </c:pt>
                <c:pt idx="11">
                  <c:v>105534</c:v>
                </c:pt>
                <c:pt idx="12">
                  <c:v>43104</c:v>
                </c:pt>
                <c:pt idx="13">
                  <c:v>8671</c:v>
                </c:pt>
                <c:pt idx="14">
                  <c:v>13980</c:v>
                </c:pt>
                <c:pt idx="15">
                  <c:v>10782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C-49CD-9560-44020A2DC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03472"/>
        <c:axId val="8599859"/>
      </c:barChart>
      <c:catAx>
        <c:axId val="581034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9859"/>
        <c:crosses val="autoZero"/>
        <c:auto val="1"/>
        <c:lblAlgn val="ctr"/>
        <c:lblOffset val="100"/>
        <c:noMultiLvlLbl val="0"/>
      </c:catAx>
      <c:valAx>
        <c:axId val="85998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0347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101160</xdr:rowOff>
    </xdr:from>
    <xdr:to>
      <xdr:col>5</xdr:col>
      <xdr:colOff>465120</xdr:colOff>
      <xdr:row>28</xdr:row>
      <xdr:rowOff>133560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101160</xdr:rowOff>
    </xdr:from>
    <xdr:to>
      <xdr:col>10</xdr:col>
      <xdr:colOff>113040</xdr:colOff>
      <xdr:row>28</xdr:row>
      <xdr:rowOff>133560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100800</xdr:rowOff>
    </xdr:from>
    <xdr:to>
      <xdr:col>5</xdr:col>
      <xdr:colOff>465120</xdr:colOff>
      <xdr:row>45</xdr:row>
      <xdr:rowOff>133200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31</xdr:row>
      <xdr:rowOff>100800</xdr:rowOff>
    </xdr:from>
    <xdr:to>
      <xdr:col>10</xdr:col>
      <xdr:colOff>113040</xdr:colOff>
      <xdr:row>49</xdr:row>
      <xdr:rowOff>91080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K48"/>
  <sheetViews>
    <sheetView showGridLines="0" topLeftCell="A47" zoomScaleNormal="100" workbookViewId="0">
      <selection activeCell="C6" sqref="C6"/>
    </sheetView>
  </sheetViews>
  <sheetFormatPr defaultColWidth="8.6328125" defaultRowHeight="14.5" x14ac:dyDescent="0.35"/>
  <cols>
    <col min="1" max="1" width="3" customWidth="1"/>
    <col min="2" max="2" width="22" customWidth="1"/>
    <col min="3" max="7" width="16" customWidth="1"/>
    <col min="8" max="8" width="3" customWidth="1"/>
    <col min="9" max="10" width="20" customWidth="1"/>
    <col min="11" max="11" width="12" customWidth="1"/>
    <col min="12" max="12" width="3" customWidth="1"/>
  </cols>
  <sheetData>
    <row r="2" spans="2:11" ht="21.75" customHeight="1" x14ac:dyDescent="0.35">
      <c r="B2" s="34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3" spans="2:11" ht="15" customHeight="1" x14ac:dyDescent="0.35">
      <c r="B3" s="37" t="s">
        <v>1</v>
      </c>
      <c r="C3" s="26"/>
      <c r="D3" s="26"/>
      <c r="E3" s="26"/>
      <c r="F3" s="26"/>
      <c r="G3" s="26"/>
      <c r="H3" s="26"/>
      <c r="I3" s="26"/>
      <c r="J3" s="26"/>
      <c r="K3" s="26"/>
    </row>
    <row r="4" spans="2:11" ht="15" customHeight="1" x14ac:dyDescent="0.35">
      <c r="I4" s="1" t="s">
        <v>2</v>
      </c>
    </row>
    <row r="5" spans="2:11" ht="15" customHeight="1" x14ac:dyDescent="0.35">
      <c r="B5" s="29" t="s">
        <v>3</v>
      </c>
      <c r="C5" s="26"/>
      <c r="E5" s="25" t="s">
        <v>4</v>
      </c>
      <c r="F5" s="26"/>
      <c r="G5" s="26"/>
      <c r="H5" s="26"/>
      <c r="I5" s="26"/>
      <c r="J5" s="26"/>
      <c r="K5" s="26"/>
    </row>
    <row r="6" spans="2:11" ht="15" customHeight="1" x14ac:dyDescent="0.35">
      <c r="B6" s="3" t="s">
        <v>5</v>
      </c>
      <c r="C6" s="4" t="s">
        <v>6</v>
      </c>
      <c r="I6" s="5" t="s">
        <v>7</v>
      </c>
      <c r="J6" s="5" t="s">
        <v>8</v>
      </c>
    </row>
    <row r="7" spans="2:11" ht="15" customHeight="1" x14ac:dyDescent="0.35">
      <c r="B7" s="3" t="s">
        <v>9</v>
      </c>
      <c r="C7" s="4" t="s">
        <v>6</v>
      </c>
      <c r="I7" s="6" t="s">
        <v>10</v>
      </c>
      <c r="J7" s="7">
        <f>IFERROR(SUMIFS('Sales Data'!$H$2:$H$61,'Sales Data'!$C$2:$C$61,IF($C$6="All","*",$C$6),'Sales Data'!$D$2:$D$61,IF($C$7="All","*",$C$7),'Sales Data'!$L$2:$L$61,"Jan"),0)</f>
        <v>131551</v>
      </c>
    </row>
    <row r="8" spans="2:11" ht="15" customHeight="1" x14ac:dyDescent="0.35">
      <c r="B8" s="3" t="s">
        <v>7</v>
      </c>
      <c r="C8" s="4" t="s">
        <v>6</v>
      </c>
      <c r="I8" s="6" t="s">
        <v>11</v>
      </c>
      <c r="J8" s="7">
        <f>IFERROR(SUMIFS('Sales Data'!$H$2:$H$61,'Sales Data'!$C$2:$C$61,IF($C$6="All","*",$C$6),'Sales Data'!$D$2:$D$61,IF($C$7="All","*",$C$7),'Sales Data'!$L$2:$L$61,"Feb"),0)</f>
        <v>153971</v>
      </c>
    </row>
    <row r="9" spans="2:11" ht="15" customHeight="1" x14ac:dyDescent="0.35">
      <c r="I9" s="6" t="s">
        <v>12</v>
      </c>
      <c r="J9" s="7">
        <f>IFERROR(SUMIFS('Sales Data'!$H$2:$H$61,'Sales Data'!$C$2:$C$61,IF($C$6="All","*",$C$6),'Sales Data'!$D$2:$D$61,IF($C$7="All","*",$C$7),'Sales Data'!$L$2:$L$61,"Mar"),0)</f>
        <v>110719</v>
      </c>
    </row>
    <row r="10" spans="2:11" ht="15" customHeight="1" x14ac:dyDescent="0.35">
      <c r="B10" s="27" t="s">
        <v>13</v>
      </c>
      <c r="C10" s="28"/>
      <c r="D10" s="27" t="s">
        <v>14</v>
      </c>
      <c r="E10" s="28"/>
      <c r="F10" s="27" t="s">
        <v>15</v>
      </c>
      <c r="G10" s="28"/>
      <c r="I10" s="6" t="s">
        <v>16</v>
      </c>
      <c r="J10" s="7">
        <f>IFERROR(SUMIFS('Sales Data'!$H$2:$H$61,'Sales Data'!$C$2:$C$61,IF($C$6="All","*",$C$6),'Sales Data'!$D$2:$D$61,IF($C$7="All","*",$C$7),'Sales Data'!$L$2:$L$61,"Apr"),0)</f>
        <v>123532</v>
      </c>
    </row>
    <row r="11" spans="2:11" ht="15" customHeight="1" x14ac:dyDescent="0.35">
      <c r="B11" s="30">
        <f>IFERROR(SUMIFS('Sales Data'!$H$2:$H$61,'Sales Data'!$C$2:$C$61,IF($C$6="All","*",$C$6),'Sales Data'!$D$2:$D$61,IF($C$7="All","*",$C$7),'Sales Data'!$L$2:$L$61,IF($C$8="All","*",$C$8)),0)</f>
        <v>1738768</v>
      </c>
      <c r="C11" s="31"/>
      <c r="D11" s="30">
        <f>IFERROR(SUMIFS('Sales Data'!$J$2:$J$61,'Sales Data'!$C$2:$C$61,IF($C$6="All","*",$C$6),'Sales Data'!$D$2:$D$61,IF($C$7="All","*",$C$7),'Sales Data'!$L$2:$L$61,IF($C$8="All","*",$C$8)),0)</f>
        <v>635987</v>
      </c>
      <c r="E11" s="31"/>
      <c r="F11" s="35">
        <f>IFERROR(D11/B11,0)</f>
        <v>0.36576875120775171</v>
      </c>
      <c r="G11" s="31"/>
      <c r="I11" s="6" t="s">
        <v>17</v>
      </c>
      <c r="J11" s="7">
        <f>IFERROR(SUMIFS('Sales Data'!$H$2:$H$61,'Sales Data'!$C$2:$C$61,IF($C$6="All","*",$C$6),'Sales Data'!$D$2:$D$61,IF($C$7="All","*",$C$7),'Sales Data'!$L$2:$L$61,"May"),0)</f>
        <v>187091</v>
      </c>
    </row>
    <row r="12" spans="2:11" ht="15" customHeight="1" x14ac:dyDescent="0.35">
      <c r="B12" s="32"/>
      <c r="C12" s="33"/>
      <c r="D12" s="32"/>
      <c r="E12" s="33"/>
      <c r="F12" s="32"/>
      <c r="G12" s="33"/>
      <c r="I12" s="6" t="s">
        <v>18</v>
      </c>
      <c r="J12" s="7">
        <f>IFERROR(SUMIFS('Sales Data'!$H$2:$H$61,'Sales Data'!$C$2:$C$61,IF($C$6="All","*",$C$6),'Sales Data'!$D$2:$D$61,IF($C$7="All","*",$C$7),'Sales Data'!$L$2:$L$61,"Jun"),0)</f>
        <v>70735</v>
      </c>
    </row>
    <row r="13" spans="2:11" ht="15" customHeight="1" x14ac:dyDescent="0.35">
      <c r="B13" s="27" t="s">
        <v>19</v>
      </c>
      <c r="C13" s="28"/>
      <c r="D13" s="27" t="s">
        <v>20</v>
      </c>
      <c r="E13" s="28"/>
      <c r="F13" s="27" t="s">
        <v>21</v>
      </c>
      <c r="G13" s="28"/>
      <c r="I13" s="6" t="s">
        <v>22</v>
      </c>
      <c r="J13" s="7">
        <f>IFERROR(SUMIFS('Sales Data'!$H$2:$H$61,'Sales Data'!$C$2:$C$61,IF($C$6="All","*",$C$6),'Sales Data'!$D$2:$D$61,IF($C$7="All","*",$C$7),'Sales Data'!$L$2:$L$61,"Jul"),0)</f>
        <v>246479</v>
      </c>
    </row>
    <row r="14" spans="2:11" ht="15" customHeight="1" x14ac:dyDescent="0.35">
      <c r="B14" s="36">
        <f>IFERROR(COUNTIFS('Sales Data'!$C$2:$C$61,IF($C$6="All","*",$C$6),'Sales Data'!$D$2:$D$61,IF($C$7="All","*",$C$7),'Sales Data'!$L$2:$L$61,IF($C$8="All","*",$C$8)),0)</f>
        <v>60</v>
      </c>
      <c r="C14" s="31"/>
      <c r="D14" s="36">
        <f>IFERROR(SUMIFS('Sales Data'!$F$2:$F$61,'Sales Data'!$C$2:$C$61,IF($C$6="All","*",$C$6),'Sales Data'!$D$2:$D$61,IF($C$7="All","*",$C$7),'Sales Data'!$L$2:$L$61,IF($C$8="All","*",$C$8)),0)</f>
        <v>832</v>
      </c>
      <c r="E14" s="31"/>
      <c r="F14" s="30">
        <f>IFERROR(B11/B14,0)</f>
        <v>28979.466666666667</v>
      </c>
      <c r="G14" s="31"/>
      <c r="I14" s="6" t="s">
        <v>23</v>
      </c>
      <c r="J14" s="7">
        <f>IFERROR(SUMIFS('Sales Data'!$H$2:$H$61,'Sales Data'!$C$2:$C$61,IF($C$6="All","*",$C$6),'Sales Data'!$D$2:$D$61,IF($C$7="All","*",$C$7),'Sales Data'!$L$2:$L$61,"Aug"),0)</f>
        <v>121059</v>
      </c>
    </row>
    <row r="15" spans="2:11" ht="15" customHeight="1" x14ac:dyDescent="0.35">
      <c r="B15" s="32"/>
      <c r="C15" s="33"/>
      <c r="D15" s="32"/>
      <c r="E15" s="33"/>
      <c r="F15" s="32"/>
      <c r="G15" s="33"/>
      <c r="I15" s="6" t="s">
        <v>24</v>
      </c>
      <c r="J15" s="7">
        <f>IFERROR(SUMIFS('Sales Data'!$H$2:$H$61,'Sales Data'!$C$2:$C$61,IF($C$6="All","*",$C$6),'Sales Data'!$D$2:$D$61,IF($C$7="All","*",$C$7),'Sales Data'!$L$2:$L$61,"Sep"),0)</f>
        <v>101939</v>
      </c>
    </row>
    <row r="16" spans="2:11" ht="15" customHeight="1" x14ac:dyDescent="0.35">
      <c r="I16" s="6" t="s">
        <v>25</v>
      </c>
      <c r="J16" s="7">
        <f>IFERROR(SUMIFS('Sales Data'!$H$2:$H$61,'Sales Data'!$C$2:$C$61,IF($C$6="All","*",$C$6),'Sales Data'!$D$2:$D$61,IF($C$7="All","*",$C$7),'Sales Data'!$L$2:$L$61,"Oct"),0)</f>
        <v>232425</v>
      </c>
    </row>
    <row r="17" spans="9:10" ht="15" customHeight="1" x14ac:dyDescent="0.35">
      <c r="I17" s="6" t="s">
        <v>26</v>
      </c>
      <c r="J17" s="7">
        <f>IFERROR(SUMIFS('Sales Data'!$H$2:$H$61,'Sales Data'!$C$2:$C$61,IF($C$6="All","*",$C$6),'Sales Data'!$D$2:$D$61,IF($C$7="All","*",$C$7),'Sales Data'!$L$2:$L$61,"Nov"),0)</f>
        <v>120236</v>
      </c>
    </row>
    <row r="18" spans="9:10" ht="15" customHeight="1" x14ac:dyDescent="0.35">
      <c r="I18" s="6" t="s">
        <v>27</v>
      </c>
      <c r="J18" s="7">
        <f>IFERROR(SUMIFS('Sales Data'!$H$2:$H$61,'Sales Data'!$C$2:$C$61,IF($C$6="All","*",$C$6),'Sales Data'!$D$2:$D$61,IF($C$7="All","*",$C$7),'Sales Data'!$L$2:$L$61,"Dec"),0)</f>
        <v>139031</v>
      </c>
    </row>
    <row r="20" spans="9:10" ht="15" customHeight="1" x14ac:dyDescent="0.35">
      <c r="I20" s="5" t="s">
        <v>5</v>
      </c>
      <c r="J20" s="5" t="s">
        <v>8</v>
      </c>
    </row>
    <row r="21" spans="9:10" ht="15" customHeight="1" x14ac:dyDescent="0.35">
      <c r="I21" s="6" t="s">
        <v>28</v>
      </c>
      <c r="J21" s="7">
        <f>IFERROR(SUMIFS('Sales Data'!$H$2:$H$61,'Sales Data'!$C$2:$C$61,"North",'Sales Data'!$D$2:$D$61,IF($C$7="All","*",$C$7),'Sales Data'!$L$2:$L$61,IF($C$8="All","*",$C$8)),0)</f>
        <v>351250</v>
      </c>
    </row>
    <row r="22" spans="9:10" ht="15" customHeight="1" x14ac:dyDescent="0.35">
      <c r="I22" s="6" t="s">
        <v>29</v>
      </c>
      <c r="J22" s="7">
        <f>IFERROR(SUMIFS('Sales Data'!$H$2:$H$61,'Sales Data'!$C$2:$C$61,"South",'Sales Data'!$D$2:$D$61,IF($C$7="All","*",$C$7),'Sales Data'!$L$2:$L$61,IF($C$8="All","*",$C$8)),0)</f>
        <v>290027</v>
      </c>
    </row>
    <row r="23" spans="9:10" ht="15" customHeight="1" x14ac:dyDescent="0.35">
      <c r="I23" s="6" t="s">
        <v>30</v>
      </c>
      <c r="J23" s="7">
        <f>IFERROR(SUMIFS('Sales Data'!$H$2:$H$61,'Sales Data'!$C$2:$C$61,"East",'Sales Data'!$D$2:$D$61,IF($C$7="All","*",$C$7),'Sales Data'!$L$2:$L$61,IF($C$8="All","*",$C$8)),0)</f>
        <v>620879</v>
      </c>
    </row>
    <row r="24" spans="9:10" ht="15" customHeight="1" x14ac:dyDescent="0.35">
      <c r="I24" s="6" t="s">
        <v>31</v>
      </c>
      <c r="J24" s="7">
        <f>IFERROR(SUMIFS('Sales Data'!$H$2:$H$61,'Sales Data'!$C$2:$C$61,"West",'Sales Data'!$D$2:$D$61,IF($C$7="All","*",$C$7),'Sales Data'!$L$2:$L$61,IF($C$8="All","*",$C$8)),0)</f>
        <v>476612</v>
      </c>
    </row>
    <row r="26" spans="9:10" ht="15" customHeight="1" x14ac:dyDescent="0.35">
      <c r="I26" s="5" t="s">
        <v>9</v>
      </c>
      <c r="J26" s="5" t="s">
        <v>8</v>
      </c>
    </row>
    <row r="27" spans="9:10" ht="15" customHeight="1" x14ac:dyDescent="0.35">
      <c r="I27" s="6" t="s">
        <v>32</v>
      </c>
      <c r="J27" s="7">
        <f>IFERROR(SUMIFS('Sales Data'!$H$2:$H$61,'Sales Data'!$C$2:$C$61,IF($C$6="All","*",$C$6),'Sales Data'!$D$2:$D$61,"Electronics",'Sales Data'!$L$2:$L$61,IF($C$8="All","*",$C$8)),0)</f>
        <v>583423</v>
      </c>
    </row>
    <row r="28" spans="9:10" ht="15" customHeight="1" x14ac:dyDescent="0.35">
      <c r="I28" s="6" t="s">
        <v>33</v>
      </c>
      <c r="J28" s="7">
        <f>IFERROR(SUMIFS('Sales Data'!$H$2:$H$61,'Sales Data'!$C$2:$C$61,IF($C$6="All","*",$C$6),'Sales Data'!$D$2:$D$61,"Furniture",'Sales Data'!$L$2:$L$61,IF($C$8="All","*",$C$8)),0)</f>
        <v>784208</v>
      </c>
    </row>
    <row r="29" spans="9:10" ht="15" customHeight="1" x14ac:dyDescent="0.35">
      <c r="I29" s="6" t="s">
        <v>34</v>
      </c>
      <c r="J29" s="7">
        <f>IFERROR(SUMIFS('Sales Data'!$H$2:$H$61,'Sales Data'!$C$2:$C$61,IF($C$6="All","*",$C$6),'Sales Data'!$D$2:$D$61,"Apparel",'Sales Data'!$L$2:$L$61,IF($C$8="All","*",$C$8)),0)</f>
        <v>294600</v>
      </c>
    </row>
    <row r="30" spans="9:10" ht="15" customHeight="1" x14ac:dyDescent="0.35">
      <c r="I30" s="6" t="s">
        <v>35</v>
      </c>
      <c r="J30" s="7">
        <f>IFERROR(SUMIFS('Sales Data'!$H$2:$H$61,'Sales Data'!$C$2:$C$61,IF($C$6="All","*",$C$6),'Sales Data'!$D$2:$D$61,"Groceries",'Sales Data'!$L$2:$L$61,IF($C$8="All","*",$C$8)),0)</f>
        <v>76537</v>
      </c>
    </row>
    <row r="32" spans="9:10" ht="15" customHeight="1" x14ac:dyDescent="0.35">
      <c r="I32" s="5" t="s">
        <v>36</v>
      </c>
      <c r="J32" s="5" t="s">
        <v>8</v>
      </c>
    </row>
    <row r="33" spans="9:10" ht="15" customHeight="1" x14ac:dyDescent="0.35">
      <c r="I33" s="6" t="s">
        <v>37</v>
      </c>
      <c r="J33" s="7">
        <f>IFERROR(SUMIFS('Sales Data'!$H$2:$H$61,'Sales Data'!$C$2:$C$61,IF($C$6="All","*",$C$6),'Sales Data'!$D$2:$D$61,IF($C$7="All","*",$C$7),'Sales Data'!$L$2:$L$61,IF($C$8="All","*",$C$8),'Sales Data'!$E$2:$E$61,"Wireless Earbuds"),0)</f>
        <v>68954</v>
      </c>
    </row>
    <row r="34" spans="9:10" ht="15" customHeight="1" x14ac:dyDescent="0.35">
      <c r="I34" s="6" t="s">
        <v>38</v>
      </c>
      <c r="J34" s="7">
        <f>IFERROR(SUMIFS('Sales Data'!$H$2:$H$61,'Sales Data'!$C$2:$C$61,IF($C$6="All","*",$C$6),'Sales Data'!$D$2:$D$61,IF($C$7="All","*",$C$7),'Sales Data'!$L$2:$L$61,IF($C$8="All","*",$C$8),'Sales Data'!$E$2:$E$61,"Smart Watch"),0)</f>
        <v>374393</v>
      </c>
    </row>
    <row r="35" spans="9:10" ht="15" customHeight="1" x14ac:dyDescent="0.35">
      <c r="I35" s="6" t="s">
        <v>39</v>
      </c>
      <c r="J35" s="7">
        <f>IFERROR(SUMIFS('Sales Data'!$H$2:$H$61,'Sales Data'!$C$2:$C$61,IF($C$6="All","*",$C$6),'Sales Data'!$D$2:$D$61,IF($C$7="All","*",$C$7),'Sales Data'!$L$2:$L$61,IF($C$8="All","*",$C$8),'Sales Data'!$E$2:$E$61,"Bluetooth Speaker"),0)</f>
        <v>51974</v>
      </c>
    </row>
    <row r="36" spans="9:10" ht="15" customHeight="1" x14ac:dyDescent="0.35">
      <c r="I36" s="6" t="s">
        <v>40</v>
      </c>
      <c r="J36" s="7">
        <f>IFERROR(SUMIFS('Sales Data'!$H$2:$H$61,'Sales Data'!$C$2:$C$61,IF($C$6="All","*",$C$6),'Sales Data'!$D$2:$D$61,IF($C$7="All","*",$C$7),'Sales Data'!$L$2:$L$61,IF($C$8="All","*",$C$8),'Sales Data'!$E$2:$E$61,"Laptop Stand"),0)</f>
        <v>88102</v>
      </c>
    </row>
    <row r="37" spans="9:10" ht="15" customHeight="1" x14ac:dyDescent="0.35">
      <c r="I37" s="6" t="s">
        <v>41</v>
      </c>
      <c r="J37" s="7">
        <f>IFERROR(SUMIFS('Sales Data'!$H$2:$H$61,'Sales Data'!$C$2:$C$61,IF($C$6="All","*",$C$6),'Sales Data'!$D$2:$D$61,IF($C$7="All","*",$C$7),'Sales Data'!$L$2:$L$61,IF($C$8="All","*",$C$8),'Sales Data'!$E$2:$E$61,"Office Chair"),0)</f>
        <v>324950</v>
      </c>
    </row>
    <row r="38" spans="9:10" ht="15" customHeight="1" x14ac:dyDescent="0.35">
      <c r="I38" s="6" t="s">
        <v>42</v>
      </c>
      <c r="J38" s="7">
        <f>IFERROR(SUMIFS('Sales Data'!$H$2:$H$61,'Sales Data'!$C$2:$C$61,IF($C$6="All","*",$C$6),'Sales Data'!$D$2:$D$61,IF($C$7="All","*",$C$7),'Sales Data'!$L$2:$L$61,IF($C$8="All","*",$C$8),'Sales Data'!$E$2:$E$61,"Study Desk"),0)</f>
        <v>263956</v>
      </c>
    </row>
    <row r="39" spans="9:10" ht="15" customHeight="1" x14ac:dyDescent="0.35">
      <c r="I39" s="6" t="s">
        <v>43</v>
      </c>
      <c r="J39" s="7">
        <f>IFERROR(SUMIFS('Sales Data'!$H$2:$H$61,'Sales Data'!$C$2:$C$61,IF($C$6="All","*",$C$6),'Sales Data'!$D$2:$D$61,IF($C$7="All","*",$C$7),'Sales Data'!$L$2:$L$61,IF($C$8="All","*",$C$8),'Sales Data'!$E$2:$E$61,"Bookshelf"),0)</f>
        <v>112166</v>
      </c>
    </row>
    <row r="40" spans="9:10" ht="15" customHeight="1" x14ac:dyDescent="0.35">
      <c r="I40" s="6" t="s">
        <v>44</v>
      </c>
      <c r="J40" s="7">
        <f>IFERROR(SUMIFS('Sales Data'!$H$2:$H$61,'Sales Data'!$C$2:$C$61,IF($C$6="All","*",$C$6),'Sales Data'!$D$2:$D$61,IF($C$7="All","*",$C$7),'Sales Data'!$L$2:$L$61,IF($C$8="All","*",$C$8),'Sales Data'!$E$2:$E$61,"Sofa Cover"),0)</f>
        <v>83136</v>
      </c>
    </row>
    <row r="41" spans="9:10" ht="15" customHeight="1" x14ac:dyDescent="0.35">
      <c r="I41" s="6" t="s">
        <v>45</v>
      </c>
      <c r="J41" s="7">
        <f>IFERROR(SUMIFS('Sales Data'!$H$2:$H$61,'Sales Data'!$C$2:$C$61,IF($C$6="All","*",$C$6),'Sales Data'!$D$2:$D$61,IF($C$7="All","*",$C$7),'Sales Data'!$L$2:$L$61,IF($C$8="All","*",$C$8),'Sales Data'!$E$2:$E$61,"Cotton T-Shirt"),0)</f>
        <v>41930</v>
      </c>
    </row>
    <row r="42" spans="9:10" ht="15" customHeight="1" x14ac:dyDescent="0.35">
      <c r="I42" s="6" t="s">
        <v>46</v>
      </c>
      <c r="J42" s="7">
        <f>IFERROR(SUMIFS('Sales Data'!$H$2:$H$61,'Sales Data'!$C$2:$C$61,IF($C$6="All","*",$C$6),'Sales Data'!$D$2:$D$61,IF($C$7="All","*",$C$7),'Sales Data'!$L$2:$L$61,IF($C$8="All","*",$C$8),'Sales Data'!$E$2:$E$61,"Denim Jacket"),0)</f>
        <v>123144</v>
      </c>
    </row>
    <row r="43" spans="9:10" ht="15" customHeight="1" x14ac:dyDescent="0.35">
      <c r="I43" s="6" t="s">
        <v>47</v>
      </c>
      <c r="J43" s="7">
        <f>IFERROR(SUMIFS('Sales Data'!$H$2:$H$61,'Sales Data'!$C$2:$C$61,IF($C$6="All","*",$C$6),'Sales Data'!$D$2:$D$61,IF($C$7="All","*",$C$7),'Sales Data'!$L$2:$L$61,IF($C$8="All","*",$C$8),'Sales Data'!$E$2:$E$61,"Running Shoes"),0)</f>
        <v>23992</v>
      </c>
    </row>
    <row r="44" spans="9:10" ht="15" customHeight="1" x14ac:dyDescent="0.35">
      <c r="I44" s="6" t="s">
        <v>48</v>
      </c>
      <c r="J44" s="7">
        <f>IFERROR(SUMIFS('Sales Data'!$H$2:$H$61,'Sales Data'!$C$2:$C$61,IF($C$6="All","*",$C$6),'Sales Data'!$D$2:$D$61,IF($C$7="All","*",$C$7),'Sales Data'!$L$2:$L$61,IF($C$8="All","*",$C$8),'Sales Data'!$E$2:$E$61,"Winter Hoodie"),0)</f>
        <v>105534</v>
      </c>
    </row>
    <row r="45" spans="9:10" ht="15" customHeight="1" x14ac:dyDescent="0.35">
      <c r="I45" s="6" t="s">
        <v>49</v>
      </c>
      <c r="J45" s="7">
        <f>IFERROR(SUMIFS('Sales Data'!$H$2:$H$61,'Sales Data'!$C$2:$C$61,IF($C$6="All","*",$C$6),'Sales Data'!$D$2:$D$61,IF($C$7="All","*",$C$7),'Sales Data'!$L$2:$L$61,IF($C$8="All","*",$C$8),'Sales Data'!$E$2:$E$61,"Organic Almonds"),0)</f>
        <v>43104</v>
      </c>
    </row>
    <row r="46" spans="9:10" ht="15" customHeight="1" x14ac:dyDescent="0.35">
      <c r="I46" s="6" t="s">
        <v>50</v>
      </c>
      <c r="J46" s="7">
        <f>IFERROR(SUMIFS('Sales Data'!$H$2:$H$61,'Sales Data'!$C$2:$C$61,IF($C$6="All","*",$C$6),'Sales Data'!$D$2:$D$61,IF($C$7="All","*",$C$7),'Sales Data'!$L$2:$L$61,IF($C$8="All","*",$C$8),'Sales Data'!$E$2:$E$61,"Green Tea Pack"),0)</f>
        <v>8671</v>
      </c>
    </row>
    <row r="47" spans="9:10" ht="15" customHeight="1" x14ac:dyDescent="0.35">
      <c r="I47" s="6" t="s">
        <v>51</v>
      </c>
      <c r="J47" s="7">
        <f>IFERROR(SUMIFS('Sales Data'!$H$2:$H$61,'Sales Data'!$C$2:$C$61,IF($C$6="All","*",$C$6),'Sales Data'!$D$2:$D$61,IF($C$7="All","*",$C$7),'Sales Data'!$L$2:$L$61,IF($C$8="All","*",$C$8),'Sales Data'!$E$2:$E$61,"Olive Oil 1L"),0)</f>
        <v>13980</v>
      </c>
    </row>
    <row r="48" spans="9:10" ht="15" customHeight="1" x14ac:dyDescent="0.35">
      <c r="I48" s="6" t="s">
        <v>52</v>
      </c>
      <c r="J48" s="7">
        <f>IFERROR(SUMIFS('Sales Data'!$H$2:$H$61,'Sales Data'!$C$2:$C$61,IF($C$6="All","*",$C$6),'Sales Data'!$D$2:$D$61,IF($C$7="All","*",$C$7),'Sales Data'!$L$2:$L$61,IF($C$8="All","*",$C$8),'Sales Data'!$E$2:$E$61,"Basmati Rice 5kg"),0)</f>
        <v>10782</v>
      </c>
    </row>
  </sheetData>
  <mergeCells count="16">
    <mergeCell ref="B2:K2"/>
    <mergeCell ref="F11:G12"/>
    <mergeCell ref="D14:E15"/>
    <mergeCell ref="B14:C15"/>
    <mergeCell ref="F13:G13"/>
    <mergeCell ref="F14:G15"/>
    <mergeCell ref="B3:K3"/>
    <mergeCell ref="E5:K5"/>
    <mergeCell ref="B13:C13"/>
    <mergeCell ref="D10:E10"/>
    <mergeCell ref="F10:G10"/>
    <mergeCell ref="B5:C5"/>
    <mergeCell ref="B11:C12"/>
    <mergeCell ref="D13:E13"/>
    <mergeCell ref="B10:C10"/>
    <mergeCell ref="D11:E12"/>
  </mergeCells>
  <dataValidations count="3">
    <dataValidation type="list" sqref="C6" xr:uid="{00000000-0002-0000-0000-000000000000}">
      <formula1>"All,North,South,East,West"</formula1>
      <formula2>0</formula2>
    </dataValidation>
    <dataValidation type="list" sqref="C7" xr:uid="{00000000-0002-0000-0000-000001000000}">
      <formula1>"All,Electronics,Furniture,Apparel,Groceries"</formula1>
      <formula2>0</formula2>
    </dataValidation>
    <dataValidation type="list" sqref="C8" xr:uid="{00000000-0002-0000-0000-000002000000}">
      <formula1>"All,Jan,Feb,Mar,Apr,May,Jun,Jul,Aug,Sep,Oct,Nov,Dec"</formula1>
      <formula2>0</formula2>
    </dataValidation>
  </dataValidations>
  <pageMargins left="0.3" right="0.3" top="0.3" bottom="0.3" header="0.5" footer="0.5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L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4" width="14" customWidth="1"/>
    <col min="5" max="5" width="20" customWidth="1"/>
    <col min="6" max="12" width="14" customWidth="1"/>
  </cols>
  <sheetData>
    <row r="1" spans="1:12" ht="15" customHeight="1" x14ac:dyDescent="0.35">
      <c r="A1" s="8" t="s">
        <v>53</v>
      </c>
      <c r="B1" s="8" t="s">
        <v>54</v>
      </c>
      <c r="C1" s="8" t="s">
        <v>5</v>
      </c>
      <c r="D1" s="8" t="s">
        <v>9</v>
      </c>
      <c r="E1" s="8" t="s">
        <v>36</v>
      </c>
      <c r="F1" s="8" t="s">
        <v>55</v>
      </c>
      <c r="G1" s="8" t="s">
        <v>56</v>
      </c>
      <c r="H1" s="8" t="s">
        <v>8</v>
      </c>
      <c r="I1" s="8" t="s">
        <v>57</v>
      </c>
      <c r="J1" s="8" t="s">
        <v>58</v>
      </c>
      <c r="K1" s="2" t="s">
        <v>15</v>
      </c>
      <c r="L1" s="2" t="s">
        <v>7</v>
      </c>
    </row>
    <row r="2" spans="1:12" ht="15" customHeight="1" x14ac:dyDescent="0.35">
      <c r="A2" s="9">
        <v>1001</v>
      </c>
      <c r="B2" s="10">
        <v>45672</v>
      </c>
      <c r="C2" s="9" t="s">
        <v>30</v>
      </c>
      <c r="D2" s="9" t="s">
        <v>32</v>
      </c>
      <c r="E2" s="9" t="s">
        <v>38</v>
      </c>
      <c r="F2" s="9">
        <v>24</v>
      </c>
      <c r="G2" s="9">
        <v>3499</v>
      </c>
      <c r="H2" s="9">
        <v>83976</v>
      </c>
      <c r="I2" s="9">
        <v>47016</v>
      </c>
      <c r="J2" s="9">
        <v>36960</v>
      </c>
      <c r="K2" s="11">
        <f t="shared" ref="K2:K33" si="0">IFERROR(J2/H2,0)</f>
        <v>0.44012575021434697</v>
      </c>
      <c r="L2" s="9" t="str">
        <f t="shared" ref="L2:L33" si="1">TEXT(B2,"mmm")</f>
        <v>Jan</v>
      </c>
    </row>
    <row r="3" spans="1:12" ht="15" customHeight="1" x14ac:dyDescent="0.35">
      <c r="A3" s="12">
        <v>1002</v>
      </c>
      <c r="B3" s="13">
        <v>45671</v>
      </c>
      <c r="C3" s="12" t="s">
        <v>30</v>
      </c>
      <c r="D3" s="12" t="s">
        <v>34</v>
      </c>
      <c r="E3" s="12" t="s">
        <v>46</v>
      </c>
      <c r="F3" s="12">
        <v>8</v>
      </c>
      <c r="G3" s="12">
        <v>2199</v>
      </c>
      <c r="H3" s="12">
        <v>17592</v>
      </c>
      <c r="I3" s="12">
        <v>9848</v>
      </c>
      <c r="J3" s="12">
        <v>7744</v>
      </c>
      <c r="K3" s="14">
        <f t="shared" si="0"/>
        <v>0.440200090950432</v>
      </c>
      <c r="L3" s="12" t="str">
        <f t="shared" si="1"/>
        <v>Jan</v>
      </c>
    </row>
    <row r="4" spans="1:12" ht="15" customHeight="1" x14ac:dyDescent="0.35">
      <c r="A4" s="9">
        <v>1003</v>
      </c>
      <c r="B4" s="10">
        <v>45682</v>
      </c>
      <c r="C4" s="9" t="s">
        <v>30</v>
      </c>
      <c r="D4" s="9" t="s">
        <v>32</v>
      </c>
      <c r="E4" s="9" t="s">
        <v>37</v>
      </c>
      <c r="F4" s="9">
        <v>14</v>
      </c>
      <c r="G4" s="9">
        <v>1499</v>
      </c>
      <c r="H4" s="9">
        <v>20986</v>
      </c>
      <c r="I4" s="9">
        <v>14266</v>
      </c>
      <c r="J4" s="9">
        <v>6720</v>
      </c>
      <c r="K4" s="11">
        <f t="shared" si="0"/>
        <v>0.32021347565043362</v>
      </c>
      <c r="L4" s="9" t="str">
        <f t="shared" si="1"/>
        <v>Jan</v>
      </c>
    </row>
    <row r="5" spans="1:12" ht="15" customHeight="1" x14ac:dyDescent="0.35">
      <c r="A5" s="12">
        <v>1004</v>
      </c>
      <c r="B5" s="13">
        <v>45661</v>
      </c>
      <c r="C5" s="12" t="s">
        <v>30</v>
      </c>
      <c r="D5" s="12" t="s">
        <v>34</v>
      </c>
      <c r="E5" s="12" t="s">
        <v>47</v>
      </c>
      <c r="F5" s="12">
        <v>3</v>
      </c>
      <c r="G5" s="12">
        <v>2999</v>
      </c>
      <c r="H5" s="12">
        <v>8997</v>
      </c>
      <c r="I5" s="12">
        <v>5307</v>
      </c>
      <c r="J5" s="12">
        <v>3690</v>
      </c>
      <c r="K5" s="14">
        <f t="shared" si="0"/>
        <v>0.41013671223741249</v>
      </c>
      <c r="L5" s="12" t="str">
        <f t="shared" si="1"/>
        <v>Jan</v>
      </c>
    </row>
    <row r="6" spans="1:12" ht="15" customHeight="1" x14ac:dyDescent="0.35">
      <c r="A6" s="9">
        <v>1005</v>
      </c>
      <c r="B6" s="10">
        <v>45703</v>
      </c>
      <c r="C6" s="9" t="s">
        <v>28</v>
      </c>
      <c r="D6" s="9" t="s">
        <v>35</v>
      </c>
      <c r="E6" s="9" t="s">
        <v>49</v>
      </c>
      <c r="F6" s="9">
        <v>19</v>
      </c>
      <c r="G6" s="9">
        <v>449</v>
      </c>
      <c r="H6" s="9">
        <v>8531</v>
      </c>
      <c r="I6" s="9">
        <v>4769</v>
      </c>
      <c r="J6" s="9">
        <v>3762</v>
      </c>
      <c r="K6" s="11">
        <f t="shared" si="0"/>
        <v>0.44097995545657015</v>
      </c>
      <c r="L6" s="9" t="str">
        <f t="shared" si="1"/>
        <v>Feb</v>
      </c>
    </row>
    <row r="7" spans="1:12" ht="15" customHeight="1" x14ac:dyDescent="0.35">
      <c r="A7" s="12">
        <v>1006</v>
      </c>
      <c r="B7" s="13">
        <v>45698</v>
      </c>
      <c r="C7" s="12" t="s">
        <v>30</v>
      </c>
      <c r="D7" s="12" t="s">
        <v>33</v>
      </c>
      <c r="E7" s="12" t="s">
        <v>41</v>
      </c>
      <c r="F7" s="12">
        <v>3</v>
      </c>
      <c r="G7" s="12">
        <v>6499</v>
      </c>
      <c r="H7" s="12">
        <v>19497</v>
      </c>
      <c r="I7" s="12">
        <v>13647</v>
      </c>
      <c r="J7" s="12">
        <v>5850</v>
      </c>
      <c r="K7" s="14">
        <f t="shared" si="0"/>
        <v>0.30004616094783815</v>
      </c>
      <c r="L7" s="12" t="str">
        <f t="shared" si="1"/>
        <v>Feb</v>
      </c>
    </row>
    <row r="8" spans="1:12" ht="15" customHeight="1" x14ac:dyDescent="0.35">
      <c r="A8" s="9">
        <v>1007</v>
      </c>
      <c r="B8" s="10">
        <v>45710</v>
      </c>
      <c r="C8" s="9" t="s">
        <v>29</v>
      </c>
      <c r="D8" s="9" t="s">
        <v>34</v>
      </c>
      <c r="E8" s="9" t="s">
        <v>45</v>
      </c>
      <c r="F8" s="9">
        <v>9</v>
      </c>
      <c r="G8" s="9">
        <v>599</v>
      </c>
      <c r="H8" s="9">
        <v>5391</v>
      </c>
      <c r="I8" s="9">
        <v>3393</v>
      </c>
      <c r="J8" s="9">
        <v>1998</v>
      </c>
      <c r="K8" s="11">
        <f t="shared" si="0"/>
        <v>0.37061769616026713</v>
      </c>
      <c r="L8" s="9" t="str">
        <f t="shared" si="1"/>
        <v>Feb</v>
      </c>
    </row>
    <row r="9" spans="1:12" ht="15" customHeight="1" x14ac:dyDescent="0.35">
      <c r="A9" s="12">
        <v>1008</v>
      </c>
      <c r="B9" s="13">
        <v>45716</v>
      </c>
      <c r="C9" s="12" t="s">
        <v>28</v>
      </c>
      <c r="D9" s="12" t="s">
        <v>35</v>
      </c>
      <c r="E9" s="12" t="s">
        <v>51</v>
      </c>
      <c r="F9" s="12">
        <v>16</v>
      </c>
      <c r="G9" s="12">
        <v>699</v>
      </c>
      <c r="H9" s="12">
        <v>11184</v>
      </c>
      <c r="I9" s="12">
        <v>7600</v>
      </c>
      <c r="J9" s="12">
        <v>3584</v>
      </c>
      <c r="K9" s="14">
        <f t="shared" si="0"/>
        <v>0.32045779685264664</v>
      </c>
      <c r="L9" s="12" t="str">
        <f t="shared" si="1"/>
        <v>Feb</v>
      </c>
    </row>
    <row r="10" spans="1:12" ht="15" customHeight="1" x14ac:dyDescent="0.35">
      <c r="A10" s="9">
        <v>1009</v>
      </c>
      <c r="B10" s="10">
        <v>45709</v>
      </c>
      <c r="C10" s="9" t="s">
        <v>30</v>
      </c>
      <c r="D10" s="9" t="s">
        <v>33</v>
      </c>
      <c r="E10" s="9" t="s">
        <v>43</v>
      </c>
      <c r="F10" s="9">
        <v>13</v>
      </c>
      <c r="G10" s="9">
        <v>3299</v>
      </c>
      <c r="H10" s="9">
        <v>42887</v>
      </c>
      <c r="I10" s="9">
        <v>31304</v>
      </c>
      <c r="J10" s="9">
        <v>11583</v>
      </c>
      <c r="K10" s="11">
        <f t="shared" si="0"/>
        <v>0.27008184298272203</v>
      </c>
      <c r="L10" s="9" t="str">
        <f t="shared" si="1"/>
        <v>Feb</v>
      </c>
    </row>
    <row r="11" spans="1:12" ht="15" customHeight="1" x14ac:dyDescent="0.35">
      <c r="A11" s="12">
        <v>1010</v>
      </c>
      <c r="B11" s="13">
        <v>45695</v>
      </c>
      <c r="C11" s="12" t="s">
        <v>30</v>
      </c>
      <c r="D11" s="12" t="s">
        <v>32</v>
      </c>
      <c r="E11" s="12" t="s">
        <v>38</v>
      </c>
      <c r="F11" s="12">
        <v>19</v>
      </c>
      <c r="G11" s="12">
        <v>3499</v>
      </c>
      <c r="H11" s="12">
        <v>66481</v>
      </c>
      <c r="I11" s="12">
        <v>37221</v>
      </c>
      <c r="J11" s="12">
        <v>29260</v>
      </c>
      <c r="K11" s="14">
        <f t="shared" si="0"/>
        <v>0.44012575021434697</v>
      </c>
      <c r="L11" s="12" t="str">
        <f t="shared" si="1"/>
        <v>Feb</v>
      </c>
    </row>
    <row r="12" spans="1:12" ht="15" customHeight="1" x14ac:dyDescent="0.35">
      <c r="A12" s="9">
        <v>1011</v>
      </c>
      <c r="B12" s="10">
        <v>45724</v>
      </c>
      <c r="C12" s="9" t="s">
        <v>29</v>
      </c>
      <c r="D12" s="9" t="s">
        <v>35</v>
      </c>
      <c r="E12" s="9" t="s">
        <v>52</v>
      </c>
      <c r="F12" s="9">
        <v>10</v>
      </c>
      <c r="G12" s="9">
        <v>599</v>
      </c>
      <c r="H12" s="9">
        <v>5990</v>
      </c>
      <c r="I12" s="9">
        <v>3950</v>
      </c>
      <c r="J12" s="9">
        <v>2040</v>
      </c>
      <c r="K12" s="11">
        <f t="shared" si="0"/>
        <v>0.34056761268781305</v>
      </c>
      <c r="L12" s="9" t="str">
        <f t="shared" si="1"/>
        <v>Mar</v>
      </c>
    </row>
    <row r="13" spans="1:12" ht="15" customHeight="1" x14ac:dyDescent="0.35">
      <c r="A13" s="12">
        <v>1012</v>
      </c>
      <c r="B13" s="13">
        <v>45737</v>
      </c>
      <c r="C13" s="12" t="s">
        <v>29</v>
      </c>
      <c r="D13" s="12" t="s">
        <v>34</v>
      </c>
      <c r="E13" s="12" t="s">
        <v>45</v>
      </c>
      <c r="F13" s="12">
        <v>9</v>
      </c>
      <c r="G13" s="12">
        <v>599</v>
      </c>
      <c r="H13" s="12">
        <v>5391</v>
      </c>
      <c r="I13" s="12">
        <v>3393</v>
      </c>
      <c r="J13" s="12">
        <v>1998</v>
      </c>
      <c r="K13" s="14">
        <f t="shared" si="0"/>
        <v>0.37061769616026713</v>
      </c>
      <c r="L13" s="12" t="str">
        <f t="shared" si="1"/>
        <v>Mar</v>
      </c>
    </row>
    <row r="14" spans="1:12" ht="15" customHeight="1" x14ac:dyDescent="0.35">
      <c r="A14" s="9">
        <v>1013</v>
      </c>
      <c r="B14" s="10">
        <v>45743</v>
      </c>
      <c r="C14" s="9" t="s">
        <v>28</v>
      </c>
      <c r="D14" s="9" t="s">
        <v>34</v>
      </c>
      <c r="E14" s="9" t="s">
        <v>48</v>
      </c>
      <c r="F14" s="9">
        <v>10</v>
      </c>
      <c r="G14" s="9">
        <v>1599</v>
      </c>
      <c r="H14" s="9">
        <v>15990</v>
      </c>
      <c r="I14" s="9">
        <v>10390</v>
      </c>
      <c r="J14" s="9">
        <v>5600</v>
      </c>
      <c r="K14" s="11">
        <f t="shared" si="0"/>
        <v>0.35021888680425267</v>
      </c>
      <c r="L14" s="9" t="str">
        <f t="shared" si="1"/>
        <v>Mar</v>
      </c>
    </row>
    <row r="15" spans="1:12" ht="15" customHeight="1" x14ac:dyDescent="0.35">
      <c r="A15" s="12">
        <v>1014</v>
      </c>
      <c r="B15" s="13">
        <v>45719</v>
      </c>
      <c r="C15" s="12" t="s">
        <v>29</v>
      </c>
      <c r="D15" s="12" t="s">
        <v>34</v>
      </c>
      <c r="E15" s="12" t="s">
        <v>46</v>
      </c>
      <c r="F15" s="12">
        <v>22</v>
      </c>
      <c r="G15" s="12">
        <v>2199</v>
      </c>
      <c r="H15" s="12">
        <v>48378</v>
      </c>
      <c r="I15" s="12">
        <v>27082</v>
      </c>
      <c r="J15" s="12">
        <v>21296</v>
      </c>
      <c r="K15" s="14">
        <f t="shared" si="0"/>
        <v>0.440200090950432</v>
      </c>
      <c r="L15" s="12" t="str">
        <f t="shared" si="1"/>
        <v>Mar</v>
      </c>
    </row>
    <row r="16" spans="1:12" ht="15" customHeight="1" x14ac:dyDescent="0.35">
      <c r="A16" s="9">
        <v>1015</v>
      </c>
      <c r="B16" s="10">
        <v>45732</v>
      </c>
      <c r="C16" s="9" t="s">
        <v>31</v>
      </c>
      <c r="D16" s="9" t="s">
        <v>35</v>
      </c>
      <c r="E16" s="9" t="s">
        <v>50</v>
      </c>
      <c r="F16" s="9">
        <v>10</v>
      </c>
      <c r="G16" s="9">
        <v>299</v>
      </c>
      <c r="H16" s="9">
        <v>2990</v>
      </c>
      <c r="I16" s="9">
        <v>1760</v>
      </c>
      <c r="J16" s="9">
        <v>1230</v>
      </c>
      <c r="K16" s="11">
        <f t="shared" si="0"/>
        <v>0.41137123745819398</v>
      </c>
      <c r="L16" s="9" t="str">
        <f t="shared" si="1"/>
        <v>Mar</v>
      </c>
    </row>
    <row r="17" spans="1:12" ht="15" customHeight="1" x14ac:dyDescent="0.35">
      <c r="A17" s="12">
        <v>1016</v>
      </c>
      <c r="B17" s="13">
        <v>45721</v>
      </c>
      <c r="C17" s="12" t="s">
        <v>29</v>
      </c>
      <c r="D17" s="12" t="s">
        <v>34</v>
      </c>
      <c r="E17" s="12" t="s">
        <v>48</v>
      </c>
      <c r="F17" s="12">
        <v>20</v>
      </c>
      <c r="G17" s="12">
        <v>1599</v>
      </c>
      <c r="H17" s="12">
        <v>31980</v>
      </c>
      <c r="I17" s="12">
        <v>20780</v>
      </c>
      <c r="J17" s="12">
        <v>11200</v>
      </c>
      <c r="K17" s="14">
        <f t="shared" si="0"/>
        <v>0.35021888680425267</v>
      </c>
      <c r="L17" s="12" t="str">
        <f t="shared" si="1"/>
        <v>Mar</v>
      </c>
    </row>
    <row r="18" spans="1:12" ht="15" customHeight="1" x14ac:dyDescent="0.35">
      <c r="A18" s="9">
        <v>1017</v>
      </c>
      <c r="B18" s="10">
        <v>45759</v>
      </c>
      <c r="C18" s="9" t="s">
        <v>29</v>
      </c>
      <c r="D18" s="9" t="s">
        <v>33</v>
      </c>
      <c r="E18" s="9" t="s">
        <v>44</v>
      </c>
      <c r="F18" s="9">
        <v>4</v>
      </c>
      <c r="G18" s="9">
        <v>1299</v>
      </c>
      <c r="H18" s="9">
        <v>5196</v>
      </c>
      <c r="I18" s="9">
        <v>2960</v>
      </c>
      <c r="J18" s="9">
        <v>2236</v>
      </c>
      <c r="K18" s="11">
        <f t="shared" si="0"/>
        <v>0.43033102386451116</v>
      </c>
      <c r="L18" s="9" t="str">
        <f t="shared" si="1"/>
        <v>Apr</v>
      </c>
    </row>
    <row r="19" spans="1:12" ht="15" customHeight="1" x14ac:dyDescent="0.35">
      <c r="A19" s="12">
        <v>1018</v>
      </c>
      <c r="B19" s="13">
        <v>45772</v>
      </c>
      <c r="C19" s="12" t="s">
        <v>28</v>
      </c>
      <c r="D19" s="12" t="s">
        <v>32</v>
      </c>
      <c r="E19" s="12" t="s">
        <v>38</v>
      </c>
      <c r="F19" s="12">
        <v>22</v>
      </c>
      <c r="G19" s="12">
        <v>3499</v>
      </c>
      <c r="H19" s="12">
        <v>76978</v>
      </c>
      <c r="I19" s="12">
        <v>43098</v>
      </c>
      <c r="J19" s="12">
        <v>33880</v>
      </c>
      <c r="K19" s="14">
        <f t="shared" si="0"/>
        <v>0.44012575021434697</v>
      </c>
      <c r="L19" s="12" t="str">
        <f t="shared" si="1"/>
        <v>Apr</v>
      </c>
    </row>
    <row r="20" spans="1:12" ht="15" customHeight="1" x14ac:dyDescent="0.35">
      <c r="A20" s="9">
        <v>1019</v>
      </c>
      <c r="B20" s="10">
        <v>45753</v>
      </c>
      <c r="C20" s="9" t="s">
        <v>31</v>
      </c>
      <c r="D20" s="9" t="s">
        <v>32</v>
      </c>
      <c r="E20" s="9" t="s">
        <v>40</v>
      </c>
      <c r="F20" s="9">
        <v>14</v>
      </c>
      <c r="G20" s="9">
        <v>899</v>
      </c>
      <c r="H20" s="9">
        <v>12586</v>
      </c>
      <c r="I20" s="9">
        <v>7420</v>
      </c>
      <c r="J20" s="9">
        <v>5166</v>
      </c>
      <c r="K20" s="11">
        <f t="shared" si="0"/>
        <v>0.41045606229143494</v>
      </c>
      <c r="L20" s="9" t="str">
        <f t="shared" si="1"/>
        <v>Apr</v>
      </c>
    </row>
    <row r="21" spans="1:12" ht="15" customHeight="1" x14ac:dyDescent="0.35">
      <c r="A21" s="12">
        <v>1020</v>
      </c>
      <c r="B21" s="13">
        <v>45767</v>
      </c>
      <c r="C21" s="12" t="s">
        <v>31</v>
      </c>
      <c r="D21" s="12" t="s">
        <v>34</v>
      </c>
      <c r="E21" s="12" t="s">
        <v>45</v>
      </c>
      <c r="F21" s="12">
        <v>23</v>
      </c>
      <c r="G21" s="12">
        <v>599</v>
      </c>
      <c r="H21" s="12">
        <v>13777</v>
      </c>
      <c r="I21" s="12">
        <v>8671</v>
      </c>
      <c r="J21" s="12">
        <v>5106</v>
      </c>
      <c r="K21" s="14">
        <f t="shared" si="0"/>
        <v>0.37061769616026713</v>
      </c>
      <c r="L21" s="12" t="str">
        <f t="shared" si="1"/>
        <v>Apr</v>
      </c>
    </row>
    <row r="22" spans="1:12" ht="15" customHeight="1" x14ac:dyDescent="0.35">
      <c r="A22" s="9">
        <v>1021</v>
      </c>
      <c r="B22" s="10">
        <v>45771</v>
      </c>
      <c r="C22" s="9" t="s">
        <v>28</v>
      </c>
      <c r="D22" s="9" t="s">
        <v>34</v>
      </c>
      <c r="E22" s="9" t="s">
        <v>47</v>
      </c>
      <c r="F22" s="9">
        <v>5</v>
      </c>
      <c r="G22" s="9">
        <v>2999</v>
      </c>
      <c r="H22" s="9">
        <v>14995</v>
      </c>
      <c r="I22" s="9">
        <v>8845</v>
      </c>
      <c r="J22" s="9">
        <v>6150</v>
      </c>
      <c r="K22" s="11">
        <f t="shared" si="0"/>
        <v>0.41013671223741249</v>
      </c>
      <c r="L22" s="9" t="str">
        <f t="shared" si="1"/>
        <v>Apr</v>
      </c>
    </row>
    <row r="23" spans="1:12" ht="15" customHeight="1" x14ac:dyDescent="0.35">
      <c r="A23" s="12">
        <v>1022</v>
      </c>
      <c r="B23" s="13">
        <v>45791</v>
      </c>
      <c r="C23" s="12" t="s">
        <v>29</v>
      </c>
      <c r="D23" s="12" t="s">
        <v>35</v>
      </c>
      <c r="E23" s="12" t="s">
        <v>49</v>
      </c>
      <c r="F23" s="12">
        <v>25</v>
      </c>
      <c r="G23" s="12">
        <v>449</v>
      </c>
      <c r="H23" s="12">
        <v>11225</v>
      </c>
      <c r="I23" s="12">
        <v>6275</v>
      </c>
      <c r="J23" s="12">
        <v>4950</v>
      </c>
      <c r="K23" s="14">
        <f t="shared" si="0"/>
        <v>0.44097995545657015</v>
      </c>
      <c r="L23" s="12" t="str">
        <f t="shared" si="1"/>
        <v>May</v>
      </c>
    </row>
    <row r="24" spans="1:12" ht="15" customHeight="1" x14ac:dyDescent="0.35">
      <c r="A24" s="9">
        <v>1023</v>
      </c>
      <c r="B24" s="10">
        <v>45801</v>
      </c>
      <c r="C24" s="9" t="s">
        <v>30</v>
      </c>
      <c r="D24" s="9" t="s">
        <v>33</v>
      </c>
      <c r="E24" s="9" t="s">
        <v>41</v>
      </c>
      <c r="F24" s="9">
        <v>22</v>
      </c>
      <c r="G24" s="9">
        <v>6499</v>
      </c>
      <c r="H24" s="9">
        <v>142978</v>
      </c>
      <c r="I24" s="9">
        <v>100078</v>
      </c>
      <c r="J24" s="9">
        <v>42900</v>
      </c>
      <c r="K24" s="11">
        <f t="shared" si="0"/>
        <v>0.30004616094783815</v>
      </c>
      <c r="L24" s="9" t="str">
        <f t="shared" si="1"/>
        <v>May</v>
      </c>
    </row>
    <row r="25" spans="1:12" ht="15" customHeight="1" x14ac:dyDescent="0.35">
      <c r="A25" s="12">
        <v>1024</v>
      </c>
      <c r="B25" s="13">
        <v>45787</v>
      </c>
      <c r="C25" s="12" t="s">
        <v>29</v>
      </c>
      <c r="D25" s="12" t="s">
        <v>33</v>
      </c>
      <c r="E25" s="12" t="s">
        <v>43</v>
      </c>
      <c r="F25" s="12">
        <v>7</v>
      </c>
      <c r="G25" s="12">
        <v>3299</v>
      </c>
      <c r="H25" s="12">
        <v>23093</v>
      </c>
      <c r="I25" s="12">
        <v>16856</v>
      </c>
      <c r="J25" s="12">
        <v>6237</v>
      </c>
      <c r="K25" s="14">
        <f t="shared" si="0"/>
        <v>0.27008184298272203</v>
      </c>
      <c r="L25" s="12" t="str">
        <f t="shared" si="1"/>
        <v>May</v>
      </c>
    </row>
    <row r="26" spans="1:12" ht="15" customHeight="1" x14ac:dyDescent="0.35">
      <c r="A26" s="9">
        <v>1025</v>
      </c>
      <c r="B26" s="10">
        <v>45795</v>
      </c>
      <c r="C26" s="9" t="s">
        <v>28</v>
      </c>
      <c r="D26" s="9" t="s">
        <v>34</v>
      </c>
      <c r="E26" s="9" t="s">
        <v>48</v>
      </c>
      <c r="F26" s="9">
        <v>2</v>
      </c>
      <c r="G26" s="9">
        <v>1599</v>
      </c>
      <c r="H26" s="9">
        <v>3198</v>
      </c>
      <c r="I26" s="9">
        <v>2078</v>
      </c>
      <c r="J26" s="9">
        <v>1120</v>
      </c>
      <c r="K26" s="11">
        <f t="shared" si="0"/>
        <v>0.35021888680425267</v>
      </c>
      <c r="L26" s="9" t="str">
        <f t="shared" si="1"/>
        <v>May</v>
      </c>
    </row>
    <row r="27" spans="1:12" ht="15" customHeight="1" x14ac:dyDescent="0.35">
      <c r="A27" s="12">
        <v>1026</v>
      </c>
      <c r="B27" s="13">
        <v>45781</v>
      </c>
      <c r="C27" s="12" t="s">
        <v>30</v>
      </c>
      <c r="D27" s="12" t="s">
        <v>34</v>
      </c>
      <c r="E27" s="12" t="s">
        <v>46</v>
      </c>
      <c r="F27" s="12">
        <v>3</v>
      </c>
      <c r="G27" s="12">
        <v>2199</v>
      </c>
      <c r="H27" s="12">
        <v>6597</v>
      </c>
      <c r="I27" s="12">
        <v>3693</v>
      </c>
      <c r="J27" s="12">
        <v>2904</v>
      </c>
      <c r="K27" s="14">
        <f t="shared" si="0"/>
        <v>0.440200090950432</v>
      </c>
      <c r="L27" s="12" t="str">
        <f t="shared" si="1"/>
        <v>May</v>
      </c>
    </row>
    <row r="28" spans="1:12" ht="15" customHeight="1" x14ac:dyDescent="0.35">
      <c r="A28" s="9">
        <v>1027</v>
      </c>
      <c r="B28" s="10">
        <v>45827</v>
      </c>
      <c r="C28" s="9" t="s">
        <v>28</v>
      </c>
      <c r="D28" s="9" t="s">
        <v>32</v>
      </c>
      <c r="E28" s="9" t="s">
        <v>40</v>
      </c>
      <c r="F28" s="9">
        <v>4</v>
      </c>
      <c r="G28" s="9">
        <v>899</v>
      </c>
      <c r="H28" s="9">
        <v>3596</v>
      </c>
      <c r="I28" s="9">
        <v>2120</v>
      </c>
      <c r="J28" s="9">
        <v>1476</v>
      </c>
      <c r="K28" s="11">
        <f t="shared" si="0"/>
        <v>0.41045606229143494</v>
      </c>
      <c r="L28" s="9" t="str">
        <f t="shared" si="1"/>
        <v>Jun</v>
      </c>
    </row>
    <row r="29" spans="1:12" ht="15" customHeight="1" x14ac:dyDescent="0.35">
      <c r="A29" s="12">
        <v>1028</v>
      </c>
      <c r="B29" s="13">
        <v>45833</v>
      </c>
      <c r="C29" s="12" t="s">
        <v>29</v>
      </c>
      <c r="D29" s="12" t="s">
        <v>33</v>
      </c>
      <c r="E29" s="12" t="s">
        <v>44</v>
      </c>
      <c r="F29" s="12">
        <v>19</v>
      </c>
      <c r="G29" s="12">
        <v>1299</v>
      </c>
      <c r="H29" s="12">
        <v>24681</v>
      </c>
      <c r="I29" s="12">
        <v>14060</v>
      </c>
      <c r="J29" s="12">
        <v>10621</v>
      </c>
      <c r="K29" s="14">
        <f t="shared" si="0"/>
        <v>0.43033102386451116</v>
      </c>
      <c r="L29" s="12" t="str">
        <f t="shared" si="1"/>
        <v>Jun</v>
      </c>
    </row>
    <row r="30" spans="1:12" ht="15" customHeight="1" x14ac:dyDescent="0.35">
      <c r="A30" s="9">
        <v>1029</v>
      </c>
      <c r="B30" s="10">
        <v>45814</v>
      </c>
      <c r="C30" s="9" t="s">
        <v>30</v>
      </c>
      <c r="D30" s="9" t="s">
        <v>35</v>
      </c>
      <c r="E30" s="9" t="s">
        <v>50</v>
      </c>
      <c r="F30" s="9">
        <v>19</v>
      </c>
      <c r="G30" s="9">
        <v>299</v>
      </c>
      <c r="H30" s="9">
        <v>5681</v>
      </c>
      <c r="I30" s="9">
        <v>3344</v>
      </c>
      <c r="J30" s="9">
        <v>2337</v>
      </c>
      <c r="K30" s="11">
        <f t="shared" si="0"/>
        <v>0.41137123745819398</v>
      </c>
      <c r="L30" s="9" t="str">
        <f t="shared" si="1"/>
        <v>Jun</v>
      </c>
    </row>
    <row r="31" spans="1:12" ht="15" customHeight="1" x14ac:dyDescent="0.35">
      <c r="A31" s="12">
        <v>1030</v>
      </c>
      <c r="B31" s="13">
        <v>45833</v>
      </c>
      <c r="C31" s="12" t="s">
        <v>29</v>
      </c>
      <c r="D31" s="12" t="s">
        <v>34</v>
      </c>
      <c r="E31" s="12" t="s">
        <v>48</v>
      </c>
      <c r="F31" s="12">
        <v>23</v>
      </c>
      <c r="G31" s="12">
        <v>1599</v>
      </c>
      <c r="H31" s="12">
        <v>36777</v>
      </c>
      <c r="I31" s="12">
        <v>23897</v>
      </c>
      <c r="J31" s="12">
        <v>12880</v>
      </c>
      <c r="K31" s="14">
        <f t="shared" si="0"/>
        <v>0.35021888680425267</v>
      </c>
      <c r="L31" s="12" t="str">
        <f t="shared" si="1"/>
        <v>Jun</v>
      </c>
    </row>
    <row r="32" spans="1:12" ht="15" customHeight="1" x14ac:dyDescent="0.35">
      <c r="A32" s="9">
        <v>1031</v>
      </c>
      <c r="B32" s="10">
        <v>45850</v>
      </c>
      <c r="C32" s="9" t="s">
        <v>31</v>
      </c>
      <c r="D32" s="9" t="s">
        <v>35</v>
      </c>
      <c r="E32" s="9" t="s">
        <v>49</v>
      </c>
      <c r="F32" s="9">
        <v>9</v>
      </c>
      <c r="G32" s="9">
        <v>449</v>
      </c>
      <c r="H32" s="9">
        <v>4041</v>
      </c>
      <c r="I32" s="9">
        <v>2259</v>
      </c>
      <c r="J32" s="9">
        <v>1782</v>
      </c>
      <c r="K32" s="11">
        <f t="shared" si="0"/>
        <v>0.44097995545657015</v>
      </c>
      <c r="L32" s="9" t="str">
        <f t="shared" si="1"/>
        <v>Jul</v>
      </c>
    </row>
    <row r="33" spans="1:12" ht="15" customHeight="1" x14ac:dyDescent="0.35">
      <c r="A33" s="12">
        <v>1032</v>
      </c>
      <c r="B33" s="13">
        <v>45846</v>
      </c>
      <c r="C33" s="12" t="s">
        <v>28</v>
      </c>
      <c r="D33" s="12" t="s">
        <v>34</v>
      </c>
      <c r="E33" s="12" t="s">
        <v>45</v>
      </c>
      <c r="F33" s="12">
        <v>20</v>
      </c>
      <c r="G33" s="12">
        <v>599</v>
      </c>
      <c r="H33" s="12">
        <v>11980</v>
      </c>
      <c r="I33" s="12">
        <v>7540</v>
      </c>
      <c r="J33" s="12">
        <v>4440</v>
      </c>
      <c r="K33" s="14">
        <f t="shared" si="0"/>
        <v>0.37061769616026713</v>
      </c>
      <c r="L33" s="12" t="str">
        <f t="shared" si="1"/>
        <v>Jul</v>
      </c>
    </row>
    <row r="34" spans="1:12" ht="15" customHeight="1" x14ac:dyDescent="0.35">
      <c r="A34" s="9">
        <v>1033</v>
      </c>
      <c r="B34" s="10">
        <v>45856</v>
      </c>
      <c r="C34" s="9" t="s">
        <v>29</v>
      </c>
      <c r="D34" s="9" t="s">
        <v>33</v>
      </c>
      <c r="E34" s="9" t="s">
        <v>41</v>
      </c>
      <c r="F34" s="9">
        <v>4</v>
      </c>
      <c r="G34" s="9">
        <v>6499</v>
      </c>
      <c r="H34" s="9">
        <v>25996</v>
      </c>
      <c r="I34" s="9">
        <v>18196</v>
      </c>
      <c r="J34" s="9">
        <v>7800</v>
      </c>
      <c r="K34" s="11">
        <f t="shared" ref="K34:K65" si="2">IFERROR(J34/H34,0)</f>
        <v>0.30004616094783815</v>
      </c>
      <c r="L34" s="9" t="str">
        <f t="shared" ref="L34:L61" si="3">TEXT(B34,"mmm")</f>
        <v>Jul</v>
      </c>
    </row>
    <row r="35" spans="1:12" ht="15" customHeight="1" x14ac:dyDescent="0.35">
      <c r="A35" s="12">
        <v>1034</v>
      </c>
      <c r="B35" s="13">
        <v>45861</v>
      </c>
      <c r="C35" s="12" t="s">
        <v>28</v>
      </c>
      <c r="D35" s="12" t="s">
        <v>33</v>
      </c>
      <c r="E35" s="12" t="s">
        <v>41</v>
      </c>
      <c r="F35" s="12">
        <v>3</v>
      </c>
      <c r="G35" s="12">
        <v>6499</v>
      </c>
      <c r="H35" s="12">
        <v>19497</v>
      </c>
      <c r="I35" s="12">
        <v>13647</v>
      </c>
      <c r="J35" s="12">
        <v>5850</v>
      </c>
      <c r="K35" s="14">
        <f t="shared" si="2"/>
        <v>0.30004616094783815</v>
      </c>
      <c r="L35" s="12" t="str">
        <f t="shared" si="3"/>
        <v>Jul</v>
      </c>
    </row>
    <row r="36" spans="1:12" ht="15" customHeight="1" x14ac:dyDescent="0.35">
      <c r="A36" s="9">
        <v>1035</v>
      </c>
      <c r="B36" s="10">
        <v>45866</v>
      </c>
      <c r="C36" s="9" t="s">
        <v>30</v>
      </c>
      <c r="D36" s="9" t="s">
        <v>32</v>
      </c>
      <c r="E36" s="9" t="s">
        <v>38</v>
      </c>
      <c r="F36" s="9">
        <v>10</v>
      </c>
      <c r="G36" s="9">
        <v>3499</v>
      </c>
      <c r="H36" s="9">
        <v>34990</v>
      </c>
      <c r="I36" s="9">
        <v>19590</v>
      </c>
      <c r="J36" s="9">
        <v>15400</v>
      </c>
      <c r="K36" s="11">
        <f t="shared" si="2"/>
        <v>0.44012575021434697</v>
      </c>
      <c r="L36" s="9" t="str">
        <f t="shared" si="3"/>
        <v>Jul</v>
      </c>
    </row>
    <row r="37" spans="1:12" ht="15" customHeight="1" x14ac:dyDescent="0.35">
      <c r="A37" s="12">
        <v>1036</v>
      </c>
      <c r="B37" s="13">
        <v>45860</v>
      </c>
      <c r="C37" s="12" t="s">
        <v>31</v>
      </c>
      <c r="D37" s="12" t="s">
        <v>33</v>
      </c>
      <c r="E37" s="12" t="s">
        <v>42</v>
      </c>
      <c r="F37" s="12">
        <v>25</v>
      </c>
      <c r="G37" s="12">
        <v>5999</v>
      </c>
      <c r="H37" s="12">
        <v>149975</v>
      </c>
      <c r="I37" s="12">
        <v>103475</v>
      </c>
      <c r="J37" s="12">
        <v>46500</v>
      </c>
      <c r="K37" s="14">
        <f t="shared" si="2"/>
        <v>0.31005167527921318</v>
      </c>
      <c r="L37" s="12" t="str">
        <f t="shared" si="3"/>
        <v>Jul</v>
      </c>
    </row>
    <row r="38" spans="1:12" ht="15" customHeight="1" x14ac:dyDescent="0.35">
      <c r="A38" s="9">
        <v>1037</v>
      </c>
      <c r="B38" s="10">
        <v>45888</v>
      </c>
      <c r="C38" s="9" t="s">
        <v>31</v>
      </c>
      <c r="D38" s="9" t="s">
        <v>33</v>
      </c>
      <c r="E38" s="9" t="s">
        <v>44</v>
      </c>
      <c r="F38" s="9">
        <v>15</v>
      </c>
      <c r="G38" s="9">
        <v>1299</v>
      </c>
      <c r="H38" s="9">
        <v>19485</v>
      </c>
      <c r="I38" s="9">
        <v>11100</v>
      </c>
      <c r="J38" s="9">
        <v>8385</v>
      </c>
      <c r="K38" s="11">
        <f t="shared" si="2"/>
        <v>0.43033102386451116</v>
      </c>
      <c r="L38" s="9" t="str">
        <f t="shared" si="3"/>
        <v>Aug</v>
      </c>
    </row>
    <row r="39" spans="1:12" ht="15" customHeight="1" x14ac:dyDescent="0.35">
      <c r="A39" s="12">
        <v>1038</v>
      </c>
      <c r="B39" s="13">
        <v>45876</v>
      </c>
      <c r="C39" s="12" t="s">
        <v>28</v>
      </c>
      <c r="D39" s="12" t="s">
        <v>32</v>
      </c>
      <c r="E39" s="12" t="s">
        <v>40</v>
      </c>
      <c r="F39" s="12">
        <v>13</v>
      </c>
      <c r="G39" s="12">
        <v>899</v>
      </c>
      <c r="H39" s="12">
        <v>11687</v>
      </c>
      <c r="I39" s="12">
        <v>6890</v>
      </c>
      <c r="J39" s="12">
        <v>4797</v>
      </c>
      <c r="K39" s="14">
        <f t="shared" si="2"/>
        <v>0.41045606229143494</v>
      </c>
      <c r="L39" s="12" t="str">
        <f t="shared" si="3"/>
        <v>Aug</v>
      </c>
    </row>
    <row r="40" spans="1:12" ht="15" customHeight="1" x14ac:dyDescent="0.35">
      <c r="A40" s="9">
        <v>1039</v>
      </c>
      <c r="B40" s="10">
        <v>45883</v>
      </c>
      <c r="C40" s="9" t="s">
        <v>31</v>
      </c>
      <c r="D40" s="9" t="s">
        <v>35</v>
      </c>
      <c r="E40" s="9" t="s">
        <v>49</v>
      </c>
      <c r="F40" s="9">
        <v>23</v>
      </c>
      <c r="G40" s="9">
        <v>449</v>
      </c>
      <c r="H40" s="9">
        <v>10327</v>
      </c>
      <c r="I40" s="9">
        <v>5773</v>
      </c>
      <c r="J40" s="9">
        <v>4554</v>
      </c>
      <c r="K40" s="11">
        <f t="shared" si="2"/>
        <v>0.44097995545657015</v>
      </c>
      <c r="L40" s="9" t="str">
        <f t="shared" si="3"/>
        <v>Aug</v>
      </c>
    </row>
    <row r="41" spans="1:12" ht="15" customHeight="1" x14ac:dyDescent="0.35">
      <c r="A41" s="12">
        <v>1040</v>
      </c>
      <c r="B41" s="13">
        <v>45890</v>
      </c>
      <c r="C41" s="12" t="s">
        <v>28</v>
      </c>
      <c r="D41" s="12" t="s">
        <v>32</v>
      </c>
      <c r="E41" s="12" t="s">
        <v>40</v>
      </c>
      <c r="F41" s="12">
        <v>25</v>
      </c>
      <c r="G41" s="12">
        <v>899</v>
      </c>
      <c r="H41" s="12">
        <v>22475</v>
      </c>
      <c r="I41" s="12">
        <v>13250</v>
      </c>
      <c r="J41" s="12">
        <v>9225</v>
      </c>
      <c r="K41" s="14">
        <f t="shared" si="2"/>
        <v>0.41045606229143494</v>
      </c>
      <c r="L41" s="12" t="str">
        <f t="shared" si="3"/>
        <v>Aug</v>
      </c>
    </row>
    <row r="42" spans="1:12" ht="15" customHeight="1" x14ac:dyDescent="0.35">
      <c r="A42" s="9">
        <v>1041</v>
      </c>
      <c r="B42" s="10">
        <v>45880</v>
      </c>
      <c r="C42" s="9" t="s">
        <v>28</v>
      </c>
      <c r="D42" s="9" t="s">
        <v>33</v>
      </c>
      <c r="E42" s="9" t="s">
        <v>42</v>
      </c>
      <c r="F42" s="9">
        <v>8</v>
      </c>
      <c r="G42" s="9">
        <v>5999</v>
      </c>
      <c r="H42" s="9">
        <v>47992</v>
      </c>
      <c r="I42" s="9">
        <v>33112</v>
      </c>
      <c r="J42" s="9">
        <v>14880</v>
      </c>
      <c r="K42" s="11">
        <f t="shared" si="2"/>
        <v>0.31005167527921318</v>
      </c>
      <c r="L42" s="9" t="str">
        <f t="shared" si="3"/>
        <v>Aug</v>
      </c>
    </row>
    <row r="43" spans="1:12" ht="15" customHeight="1" x14ac:dyDescent="0.35">
      <c r="A43" s="12">
        <v>1042</v>
      </c>
      <c r="B43" s="13">
        <v>45887</v>
      </c>
      <c r="C43" s="12" t="s">
        <v>31</v>
      </c>
      <c r="D43" s="12" t="s">
        <v>33</v>
      </c>
      <c r="E43" s="12" t="s">
        <v>44</v>
      </c>
      <c r="F43" s="12">
        <v>7</v>
      </c>
      <c r="G43" s="12">
        <v>1299</v>
      </c>
      <c r="H43" s="12">
        <v>9093</v>
      </c>
      <c r="I43" s="12">
        <v>5180</v>
      </c>
      <c r="J43" s="12">
        <v>3913</v>
      </c>
      <c r="K43" s="14">
        <f t="shared" si="2"/>
        <v>0.43033102386451116</v>
      </c>
      <c r="L43" s="12" t="str">
        <f t="shared" si="3"/>
        <v>Aug</v>
      </c>
    </row>
    <row r="44" spans="1:12" ht="15" customHeight="1" x14ac:dyDescent="0.35">
      <c r="A44" s="9">
        <v>1043</v>
      </c>
      <c r="B44" s="10">
        <v>45915</v>
      </c>
      <c r="C44" s="9" t="s">
        <v>29</v>
      </c>
      <c r="D44" s="9" t="s">
        <v>32</v>
      </c>
      <c r="E44" s="9" t="s">
        <v>40</v>
      </c>
      <c r="F44" s="9">
        <v>19</v>
      </c>
      <c r="G44" s="9">
        <v>899</v>
      </c>
      <c r="H44" s="9">
        <v>17081</v>
      </c>
      <c r="I44" s="9">
        <v>10070</v>
      </c>
      <c r="J44" s="9">
        <v>7011</v>
      </c>
      <c r="K44" s="11">
        <f t="shared" si="2"/>
        <v>0.41045606229143494</v>
      </c>
      <c r="L44" s="9" t="str">
        <f t="shared" si="3"/>
        <v>Sep</v>
      </c>
    </row>
    <row r="45" spans="1:12" ht="15" customHeight="1" x14ac:dyDescent="0.35">
      <c r="A45" s="12">
        <v>1044</v>
      </c>
      <c r="B45" s="13">
        <v>45904</v>
      </c>
      <c r="C45" s="12" t="s">
        <v>28</v>
      </c>
      <c r="D45" s="12" t="s">
        <v>32</v>
      </c>
      <c r="E45" s="12" t="s">
        <v>37</v>
      </c>
      <c r="F45" s="12">
        <v>9</v>
      </c>
      <c r="G45" s="12">
        <v>1499</v>
      </c>
      <c r="H45" s="12">
        <v>13491</v>
      </c>
      <c r="I45" s="12">
        <v>9171</v>
      </c>
      <c r="J45" s="12">
        <v>4320</v>
      </c>
      <c r="K45" s="14">
        <f t="shared" si="2"/>
        <v>0.32021347565043362</v>
      </c>
      <c r="L45" s="12" t="str">
        <f t="shared" si="3"/>
        <v>Sep</v>
      </c>
    </row>
    <row r="46" spans="1:12" ht="15" customHeight="1" x14ac:dyDescent="0.35">
      <c r="A46" s="9">
        <v>1045</v>
      </c>
      <c r="B46" s="10">
        <v>45906</v>
      </c>
      <c r="C46" s="9" t="s">
        <v>31</v>
      </c>
      <c r="D46" s="9" t="s">
        <v>35</v>
      </c>
      <c r="E46" s="9" t="s">
        <v>52</v>
      </c>
      <c r="F46" s="9">
        <v>8</v>
      </c>
      <c r="G46" s="9">
        <v>599</v>
      </c>
      <c r="H46" s="9">
        <v>4792</v>
      </c>
      <c r="I46" s="9">
        <v>3160</v>
      </c>
      <c r="J46" s="9">
        <v>1632</v>
      </c>
      <c r="K46" s="11">
        <f t="shared" si="2"/>
        <v>0.34056761268781305</v>
      </c>
      <c r="L46" s="9" t="str">
        <f t="shared" si="3"/>
        <v>Sep</v>
      </c>
    </row>
    <row r="47" spans="1:12" ht="15" customHeight="1" x14ac:dyDescent="0.35">
      <c r="A47" s="12">
        <v>1046</v>
      </c>
      <c r="B47" s="13">
        <v>45928</v>
      </c>
      <c r="C47" s="12" t="s">
        <v>31</v>
      </c>
      <c r="D47" s="12" t="s">
        <v>32</v>
      </c>
      <c r="E47" s="12" t="s">
        <v>38</v>
      </c>
      <c r="F47" s="12">
        <v>14</v>
      </c>
      <c r="G47" s="12">
        <v>3499</v>
      </c>
      <c r="H47" s="12">
        <v>48986</v>
      </c>
      <c r="I47" s="12">
        <v>27426</v>
      </c>
      <c r="J47" s="12">
        <v>21560</v>
      </c>
      <c r="K47" s="14">
        <f t="shared" si="2"/>
        <v>0.44012575021434697</v>
      </c>
      <c r="L47" s="12" t="str">
        <f t="shared" si="3"/>
        <v>Sep</v>
      </c>
    </row>
    <row r="48" spans="1:12" ht="15" customHeight="1" x14ac:dyDescent="0.35">
      <c r="A48" s="9">
        <v>1047</v>
      </c>
      <c r="B48" s="10">
        <v>45901</v>
      </c>
      <c r="C48" s="9" t="s">
        <v>31</v>
      </c>
      <c r="D48" s="9" t="s">
        <v>34</v>
      </c>
      <c r="E48" s="9" t="s">
        <v>48</v>
      </c>
      <c r="F48" s="9">
        <v>11</v>
      </c>
      <c r="G48" s="9">
        <v>1599</v>
      </c>
      <c r="H48" s="9">
        <v>17589</v>
      </c>
      <c r="I48" s="9">
        <v>11429</v>
      </c>
      <c r="J48" s="9">
        <v>6160</v>
      </c>
      <c r="K48" s="11">
        <f t="shared" si="2"/>
        <v>0.35021888680425267</v>
      </c>
      <c r="L48" s="9" t="str">
        <f t="shared" si="3"/>
        <v>Sep</v>
      </c>
    </row>
    <row r="49" spans="1:12" ht="15" customHeight="1" x14ac:dyDescent="0.35">
      <c r="A49" s="12">
        <v>1048</v>
      </c>
      <c r="B49" s="13">
        <v>45953</v>
      </c>
      <c r="C49" s="12" t="s">
        <v>31</v>
      </c>
      <c r="D49" s="12" t="s">
        <v>33</v>
      </c>
      <c r="E49" s="12" t="s">
        <v>42</v>
      </c>
      <c r="F49" s="12">
        <v>11</v>
      </c>
      <c r="G49" s="12">
        <v>5999</v>
      </c>
      <c r="H49" s="12">
        <v>65989</v>
      </c>
      <c r="I49" s="12">
        <v>45529</v>
      </c>
      <c r="J49" s="12">
        <v>20460</v>
      </c>
      <c r="K49" s="14">
        <f t="shared" si="2"/>
        <v>0.31005167527921318</v>
      </c>
      <c r="L49" s="12" t="str">
        <f t="shared" si="3"/>
        <v>Oct</v>
      </c>
    </row>
    <row r="50" spans="1:12" ht="15" customHeight="1" x14ac:dyDescent="0.35">
      <c r="A50" s="9">
        <v>1049</v>
      </c>
      <c r="B50" s="10">
        <v>45937</v>
      </c>
      <c r="C50" s="9" t="s">
        <v>28</v>
      </c>
      <c r="D50" s="9" t="s">
        <v>32</v>
      </c>
      <c r="E50" s="9" t="s">
        <v>39</v>
      </c>
      <c r="F50" s="9">
        <v>3</v>
      </c>
      <c r="G50" s="9">
        <v>1999</v>
      </c>
      <c r="H50" s="9">
        <v>5997</v>
      </c>
      <c r="I50" s="9">
        <v>3657</v>
      </c>
      <c r="J50" s="9">
        <v>2340</v>
      </c>
      <c r="K50" s="11">
        <f t="shared" si="2"/>
        <v>0.39019509754877441</v>
      </c>
      <c r="L50" s="9" t="str">
        <f t="shared" si="3"/>
        <v>Oct</v>
      </c>
    </row>
    <row r="51" spans="1:12" ht="15" customHeight="1" x14ac:dyDescent="0.35">
      <c r="A51" s="12">
        <v>1050</v>
      </c>
      <c r="B51" s="13">
        <v>45932</v>
      </c>
      <c r="C51" s="12" t="s">
        <v>31</v>
      </c>
      <c r="D51" s="12" t="s">
        <v>33</v>
      </c>
      <c r="E51" s="12" t="s">
        <v>41</v>
      </c>
      <c r="F51" s="12">
        <v>18</v>
      </c>
      <c r="G51" s="12">
        <v>6499</v>
      </c>
      <c r="H51" s="12">
        <v>116982</v>
      </c>
      <c r="I51" s="12">
        <v>81882</v>
      </c>
      <c r="J51" s="12">
        <v>35100</v>
      </c>
      <c r="K51" s="14">
        <f t="shared" si="2"/>
        <v>0.30004616094783815</v>
      </c>
      <c r="L51" s="12" t="str">
        <f t="shared" si="3"/>
        <v>Oct</v>
      </c>
    </row>
    <row r="52" spans="1:12" ht="15" customHeight="1" x14ac:dyDescent="0.35">
      <c r="A52" s="9">
        <v>1051</v>
      </c>
      <c r="B52" s="10">
        <v>45933</v>
      </c>
      <c r="C52" s="9" t="s">
        <v>29</v>
      </c>
      <c r="D52" s="9" t="s">
        <v>32</v>
      </c>
      <c r="E52" s="9" t="s">
        <v>37</v>
      </c>
      <c r="F52" s="9">
        <v>23</v>
      </c>
      <c r="G52" s="9">
        <v>1499</v>
      </c>
      <c r="H52" s="9">
        <v>34477</v>
      </c>
      <c r="I52" s="9">
        <v>23437</v>
      </c>
      <c r="J52" s="9">
        <v>11040</v>
      </c>
      <c r="K52" s="11">
        <f t="shared" si="2"/>
        <v>0.32021347565043362</v>
      </c>
      <c r="L52" s="9" t="str">
        <f t="shared" si="3"/>
        <v>Oct</v>
      </c>
    </row>
    <row r="53" spans="1:12" ht="15" customHeight="1" x14ac:dyDescent="0.35">
      <c r="A53" s="12">
        <v>1052</v>
      </c>
      <c r="B53" s="13">
        <v>45958</v>
      </c>
      <c r="C53" s="12" t="s">
        <v>29</v>
      </c>
      <c r="D53" s="12" t="s">
        <v>35</v>
      </c>
      <c r="E53" s="12" t="s">
        <v>49</v>
      </c>
      <c r="F53" s="12">
        <v>20</v>
      </c>
      <c r="G53" s="12">
        <v>449</v>
      </c>
      <c r="H53" s="12">
        <v>8980</v>
      </c>
      <c r="I53" s="12">
        <v>5020</v>
      </c>
      <c r="J53" s="12">
        <v>3960</v>
      </c>
      <c r="K53" s="14">
        <f t="shared" si="2"/>
        <v>0.44097995545657015</v>
      </c>
      <c r="L53" s="12" t="str">
        <f t="shared" si="3"/>
        <v>Oct</v>
      </c>
    </row>
    <row r="54" spans="1:12" ht="15" customHeight="1" x14ac:dyDescent="0.35">
      <c r="A54" s="9">
        <v>1053</v>
      </c>
      <c r="B54" s="10">
        <v>45980</v>
      </c>
      <c r="C54" s="9" t="s">
        <v>28</v>
      </c>
      <c r="D54" s="9" t="s">
        <v>32</v>
      </c>
      <c r="E54" s="9" t="s">
        <v>40</v>
      </c>
      <c r="F54" s="9">
        <v>23</v>
      </c>
      <c r="G54" s="9">
        <v>899</v>
      </c>
      <c r="H54" s="9">
        <v>20677</v>
      </c>
      <c r="I54" s="9">
        <v>12190</v>
      </c>
      <c r="J54" s="9">
        <v>8487</v>
      </c>
      <c r="K54" s="11">
        <f t="shared" si="2"/>
        <v>0.41045606229143494</v>
      </c>
      <c r="L54" s="9" t="str">
        <f t="shared" si="3"/>
        <v>Nov</v>
      </c>
    </row>
    <row r="55" spans="1:12" ht="15" customHeight="1" x14ac:dyDescent="0.35">
      <c r="A55" s="12">
        <v>1054</v>
      </c>
      <c r="B55" s="13">
        <v>45980</v>
      </c>
      <c r="C55" s="12" t="s">
        <v>30</v>
      </c>
      <c r="D55" s="12" t="s">
        <v>34</v>
      </c>
      <c r="E55" s="12" t="s">
        <v>46</v>
      </c>
      <c r="F55" s="12">
        <v>23</v>
      </c>
      <c r="G55" s="12">
        <v>2199</v>
      </c>
      <c r="H55" s="12">
        <v>50577</v>
      </c>
      <c r="I55" s="12">
        <v>28313</v>
      </c>
      <c r="J55" s="12">
        <v>22264</v>
      </c>
      <c r="K55" s="14">
        <f t="shared" si="2"/>
        <v>0.440200090950432</v>
      </c>
      <c r="L55" s="12" t="str">
        <f t="shared" si="3"/>
        <v>Nov</v>
      </c>
    </row>
    <row r="56" spans="1:12" ht="15" customHeight="1" x14ac:dyDescent="0.35">
      <c r="A56" s="9">
        <v>1055</v>
      </c>
      <c r="B56" s="10">
        <v>45984</v>
      </c>
      <c r="C56" s="9" t="s">
        <v>30</v>
      </c>
      <c r="D56" s="9" t="s">
        <v>33</v>
      </c>
      <c r="E56" s="9" t="s">
        <v>43</v>
      </c>
      <c r="F56" s="9">
        <v>14</v>
      </c>
      <c r="G56" s="9">
        <v>3299</v>
      </c>
      <c r="H56" s="9">
        <v>46186</v>
      </c>
      <c r="I56" s="9">
        <v>33712</v>
      </c>
      <c r="J56" s="9">
        <v>12474</v>
      </c>
      <c r="K56" s="11">
        <f t="shared" si="2"/>
        <v>0.27008184298272203</v>
      </c>
      <c r="L56" s="9" t="str">
        <f t="shared" si="3"/>
        <v>Nov</v>
      </c>
    </row>
    <row r="57" spans="1:12" ht="15" customHeight="1" x14ac:dyDescent="0.35">
      <c r="A57" s="12">
        <v>1056</v>
      </c>
      <c r="B57" s="13">
        <v>45966</v>
      </c>
      <c r="C57" s="12" t="s">
        <v>30</v>
      </c>
      <c r="D57" s="12" t="s">
        <v>35</v>
      </c>
      <c r="E57" s="12" t="s">
        <v>51</v>
      </c>
      <c r="F57" s="12">
        <v>4</v>
      </c>
      <c r="G57" s="12">
        <v>699</v>
      </c>
      <c r="H57" s="12">
        <v>2796</v>
      </c>
      <c r="I57" s="12">
        <v>1900</v>
      </c>
      <c r="J57" s="12">
        <v>896</v>
      </c>
      <c r="K57" s="14">
        <f t="shared" si="2"/>
        <v>0.32045779685264664</v>
      </c>
      <c r="L57" s="12" t="str">
        <f t="shared" si="3"/>
        <v>Nov</v>
      </c>
    </row>
    <row r="58" spans="1:12" ht="15" customHeight="1" x14ac:dyDescent="0.35">
      <c r="A58" s="9">
        <v>1057</v>
      </c>
      <c r="B58" s="10">
        <v>46006</v>
      </c>
      <c r="C58" s="9" t="s">
        <v>28</v>
      </c>
      <c r="D58" s="9" t="s">
        <v>32</v>
      </c>
      <c r="E58" s="9" t="s">
        <v>38</v>
      </c>
      <c r="F58" s="9">
        <v>18</v>
      </c>
      <c r="G58" s="9">
        <v>3499</v>
      </c>
      <c r="H58" s="9">
        <v>62982</v>
      </c>
      <c r="I58" s="9">
        <v>35262</v>
      </c>
      <c r="J58" s="9">
        <v>27720</v>
      </c>
      <c r="K58" s="11">
        <f t="shared" si="2"/>
        <v>0.44012575021434697</v>
      </c>
      <c r="L58" s="9" t="str">
        <f t="shared" si="3"/>
        <v>Dec</v>
      </c>
    </row>
    <row r="59" spans="1:12" ht="15" customHeight="1" x14ac:dyDescent="0.35">
      <c r="A59" s="12">
        <v>1058</v>
      </c>
      <c r="B59" s="13">
        <v>46000</v>
      </c>
      <c r="C59" s="12" t="s">
        <v>29</v>
      </c>
      <c r="D59" s="12" t="s">
        <v>34</v>
      </c>
      <c r="E59" s="12" t="s">
        <v>45</v>
      </c>
      <c r="F59" s="12">
        <v>9</v>
      </c>
      <c r="G59" s="12">
        <v>599</v>
      </c>
      <c r="H59" s="12">
        <v>5391</v>
      </c>
      <c r="I59" s="12">
        <v>3393</v>
      </c>
      <c r="J59" s="12">
        <v>1998</v>
      </c>
      <c r="K59" s="14">
        <f t="shared" si="2"/>
        <v>0.37061769616026713</v>
      </c>
      <c r="L59" s="12" t="str">
        <f t="shared" si="3"/>
        <v>Dec</v>
      </c>
    </row>
    <row r="60" spans="1:12" ht="15" customHeight="1" x14ac:dyDescent="0.35">
      <c r="A60" s="9">
        <v>1059</v>
      </c>
      <c r="B60" s="10">
        <v>46003</v>
      </c>
      <c r="C60" s="9" t="s">
        <v>30</v>
      </c>
      <c r="D60" s="9" t="s">
        <v>33</v>
      </c>
      <c r="E60" s="9" t="s">
        <v>44</v>
      </c>
      <c r="F60" s="9">
        <v>19</v>
      </c>
      <c r="G60" s="9">
        <v>1299</v>
      </c>
      <c r="H60" s="9">
        <v>24681</v>
      </c>
      <c r="I60" s="9">
        <v>14060</v>
      </c>
      <c r="J60" s="9">
        <v>10621</v>
      </c>
      <c r="K60" s="11">
        <f t="shared" si="2"/>
        <v>0.43033102386451116</v>
      </c>
      <c r="L60" s="9" t="str">
        <f t="shared" si="3"/>
        <v>Dec</v>
      </c>
    </row>
    <row r="61" spans="1:12" ht="15" customHeight="1" x14ac:dyDescent="0.35">
      <c r="A61" s="12">
        <v>1060</v>
      </c>
      <c r="B61" s="13">
        <v>46014</v>
      </c>
      <c r="C61" s="12" t="s">
        <v>30</v>
      </c>
      <c r="D61" s="12" t="s">
        <v>32</v>
      </c>
      <c r="E61" s="12" t="s">
        <v>39</v>
      </c>
      <c r="F61" s="12">
        <v>23</v>
      </c>
      <c r="G61" s="12">
        <v>1999</v>
      </c>
      <c r="H61" s="12">
        <v>45977</v>
      </c>
      <c r="I61" s="12">
        <v>28037</v>
      </c>
      <c r="J61" s="12">
        <v>17940</v>
      </c>
      <c r="K61" s="14">
        <f t="shared" si="2"/>
        <v>0.39019509754877441</v>
      </c>
      <c r="L61" s="12" t="str">
        <f t="shared" si="3"/>
        <v>Dec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K17"/>
  <sheetViews>
    <sheetView tabSelected="1" zoomScaleNormal="100" workbookViewId="0">
      <pane ySplit="1" topLeftCell="A2" activePane="bottomLeft" state="frozen"/>
      <selection pane="bottomLeft" activeCell="I3" sqref="I3"/>
    </sheetView>
  </sheetViews>
  <sheetFormatPr defaultColWidth="8.6328125" defaultRowHeight="14.5" x14ac:dyDescent="0.35"/>
  <cols>
    <col min="1" max="1" width="12" customWidth="1"/>
    <col min="2" max="2" width="20" customWidth="1"/>
    <col min="3" max="3" width="14" customWidth="1"/>
    <col min="4" max="6" width="12" customWidth="1"/>
    <col min="8" max="9" width="16" customWidth="1"/>
  </cols>
  <sheetData>
    <row r="1" spans="1:11" ht="15.75" customHeight="1" x14ac:dyDescent="0.35">
      <c r="A1" s="15" t="s">
        <v>59</v>
      </c>
      <c r="B1" s="15" t="s">
        <v>60</v>
      </c>
      <c r="C1" s="15" t="s">
        <v>9</v>
      </c>
      <c r="D1" s="15" t="s">
        <v>56</v>
      </c>
      <c r="E1" s="15" t="s">
        <v>61</v>
      </c>
      <c r="F1" s="16" t="s">
        <v>15</v>
      </c>
      <c r="H1" s="38" t="s">
        <v>62</v>
      </c>
      <c r="I1" s="26"/>
      <c r="J1" s="26"/>
      <c r="K1" s="26"/>
    </row>
    <row r="2" spans="1:11" ht="15" customHeight="1" x14ac:dyDescent="0.35">
      <c r="A2" s="17" t="s">
        <v>63</v>
      </c>
      <c r="B2" s="17" t="s">
        <v>37</v>
      </c>
      <c r="C2" s="17" t="s">
        <v>32</v>
      </c>
      <c r="D2" s="18">
        <v>1499</v>
      </c>
      <c r="E2" s="18">
        <v>1019</v>
      </c>
      <c r="F2" s="19">
        <f t="shared" ref="F2:F17" si="0">IFERROR((D2-E2)/D2,0)</f>
        <v>0.32021347565043362</v>
      </c>
    </row>
    <row r="3" spans="1:11" ht="15" customHeight="1" x14ac:dyDescent="0.35">
      <c r="A3" s="6" t="s">
        <v>64</v>
      </c>
      <c r="B3" s="6" t="s">
        <v>38</v>
      </c>
      <c r="C3" s="6" t="s">
        <v>32</v>
      </c>
      <c r="D3" s="20">
        <v>3499</v>
      </c>
      <c r="E3" s="20">
        <v>1959</v>
      </c>
      <c r="F3" s="21">
        <f t="shared" si="0"/>
        <v>0.44012575021434697</v>
      </c>
      <c r="H3" s="22" t="s">
        <v>65</v>
      </c>
      <c r="I3" s="23" t="s">
        <v>71</v>
      </c>
    </row>
    <row r="4" spans="1:11" ht="15" customHeight="1" x14ac:dyDescent="0.35">
      <c r="A4" s="17" t="s">
        <v>66</v>
      </c>
      <c r="B4" s="17" t="s">
        <v>39</v>
      </c>
      <c r="C4" s="17" t="s">
        <v>32</v>
      </c>
      <c r="D4" s="18">
        <v>1999</v>
      </c>
      <c r="E4" s="18">
        <v>1219</v>
      </c>
      <c r="F4" s="19">
        <f t="shared" si="0"/>
        <v>0.39019509754877441</v>
      </c>
    </row>
    <row r="5" spans="1:11" ht="15" customHeight="1" x14ac:dyDescent="0.35">
      <c r="A5" s="6" t="s">
        <v>67</v>
      </c>
      <c r="B5" s="6" t="s">
        <v>40</v>
      </c>
      <c r="C5" s="6" t="s">
        <v>32</v>
      </c>
      <c r="D5" s="20">
        <v>899</v>
      </c>
      <c r="E5" s="20">
        <v>530</v>
      </c>
      <c r="F5" s="21">
        <f t="shared" si="0"/>
        <v>0.41045606229143494</v>
      </c>
      <c r="H5" s="24" t="s">
        <v>60</v>
      </c>
      <c r="I5" s="6" t="str">
        <f>IFERROR(INDEX($B$2:$B$17,MATCH($I$3,$A$2:$A$17,0)),"Not found")</f>
        <v>Sofa Cover</v>
      </c>
    </row>
    <row r="6" spans="1:11" ht="15" customHeight="1" x14ac:dyDescent="0.35">
      <c r="A6" s="17" t="s">
        <v>68</v>
      </c>
      <c r="B6" s="17" t="s">
        <v>41</v>
      </c>
      <c r="C6" s="17" t="s">
        <v>33</v>
      </c>
      <c r="D6" s="18">
        <v>6499</v>
      </c>
      <c r="E6" s="18">
        <v>4549</v>
      </c>
      <c r="F6" s="19">
        <f t="shared" si="0"/>
        <v>0.30004616094783815</v>
      </c>
      <c r="H6" s="24" t="s">
        <v>9</v>
      </c>
      <c r="I6" s="6" t="str">
        <f>IFERROR(INDEX($C$2:$C$17,MATCH($I$3,$A$2:$A$17,0)),"Not found")</f>
        <v>Furniture</v>
      </c>
    </row>
    <row r="7" spans="1:11" ht="15" customHeight="1" x14ac:dyDescent="0.35">
      <c r="A7" s="6" t="s">
        <v>69</v>
      </c>
      <c r="B7" s="6" t="s">
        <v>42</v>
      </c>
      <c r="C7" s="6" t="s">
        <v>33</v>
      </c>
      <c r="D7" s="20">
        <v>5999</v>
      </c>
      <c r="E7" s="20">
        <v>4139</v>
      </c>
      <c r="F7" s="21">
        <f t="shared" si="0"/>
        <v>0.31005167527921318</v>
      </c>
      <c r="H7" s="24" t="s">
        <v>56</v>
      </c>
      <c r="I7" s="20">
        <f>IFERROR(INDEX($D$2:$D$17,MATCH($I$3,$A$2:$A$17,0)),"Not found")</f>
        <v>1299</v>
      </c>
    </row>
    <row r="8" spans="1:11" ht="15" customHeight="1" x14ac:dyDescent="0.35">
      <c r="A8" s="17" t="s">
        <v>70</v>
      </c>
      <c r="B8" s="17" t="s">
        <v>43</v>
      </c>
      <c r="C8" s="17" t="s">
        <v>33</v>
      </c>
      <c r="D8" s="18">
        <v>3299</v>
      </c>
      <c r="E8" s="18">
        <v>2408</v>
      </c>
      <c r="F8" s="19">
        <f t="shared" si="0"/>
        <v>0.27008184298272203</v>
      </c>
      <c r="H8" s="24" t="s">
        <v>61</v>
      </c>
      <c r="I8" s="20">
        <f>IFERROR(INDEX($E$2:$E$17,MATCH($I$3,$A$2:$A$17,0)),"Not found")</f>
        <v>740</v>
      </c>
    </row>
    <row r="9" spans="1:11" ht="15" customHeight="1" x14ac:dyDescent="0.35">
      <c r="A9" s="6" t="s">
        <v>71</v>
      </c>
      <c r="B9" s="6" t="s">
        <v>44</v>
      </c>
      <c r="C9" s="6" t="s">
        <v>33</v>
      </c>
      <c r="D9" s="20">
        <v>1299</v>
      </c>
      <c r="E9" s="20">
        <v>740</v>
      </c>
      <c r="F9" s="21">
        <f t="shared" si="0"/>
        <v>0.43033102386451116</v>
      </c>
      <c r="H9" s="24" t="s">
        <v>15</v>
      </c>
      <c r="I9" s="21">
        <f>IFERROR(INDEX($F$2:$F$17,MATCH($I$3,$A$2:$A$17,0)),"Not found")</f>
        <v>0.43033102386451116</v>
      </c>
    </row>
    <row r="10" spans="1:11" ht="15" customHeight="1" x14ac:dyDescent="0.35">
      <c r="A10" s="17" t="s">
        <v>72</v>
      </c>
      <c r="B10" s="17" t="s">
        <v>45</v>
      </c>
      <c r="C10" s="17" t="s">
        <v>34</v>
      </c>
      <c r="D10" s="18">
        <v>599</v>
      </c>
      <c r="E10" s="18">
        <v>377</v>
      </c>
      <c r="F10" s="19">
        <f t="shared" si="0"/>
        <v>0.37061769616026713</v>
      </c>
    </row>
    <row r="11" spans="1:11" ht="15" customHeight="1" x14ac:dyDescent="0.35">
      <c r="A11" s="6" t="s">
        <v>73</v>
      </c>
      <c r="B11" s="6" t="s">
        <v>46</v>
      </c>
      <c r="C11" s="6" t="s">
        <v>34</v>
      </c>
      <c r="D11" s="20">
        <v>2199</v>
      </c>
      <c r="E11" s="20">
        <v>1231</v>
      </c>
      <c r="F11" s="21">
        <f t="shared" si="0"/>
        <v>0.440200090950432</v>
      </c>
    </row>
    <row r="12" spans="1:11" ht="15" customHeight="1" x14ac:dyDescent="0.35">
      <c r="A12" s="17" t="s">
        <v>74</v>
      </c>
      <c r="B12" s="17" t="s">
        <v>47</v>
      </c>
      <c r="C12" s="17" t="s">
        <v>34</v>
      </c>
      <c r="D12" s="18">
        <v>2999</v>
      </c>
      <c r="E12" s="18">
        <v>1769</v>
      </c>
      <c r="F12" s="19">
        <f t="shared" si="0"/>
        <v>0.41013671223741249</v>
      </c>
    </row>
    <row r="13" spans="1:11" ht="15" customHeight="1" x14ac:dyDescent="0.35">
      <c r="A13" s="6" t="s">
        <v>75</v>
      </c>
      <c r="B13" s="6" t="s">
        <v>48</v>
      </c>
      <c r="C13" s="6" t="s">
        <v>34</v>
      </c>
      <c r="D13" s="20">
        <v>1599</v>
      </c>
      <c r="E13" s="20">
        <v>1039</v>
      </c>
      <c r="F13" s="21">
        <f t="shared" si="0"/>
        <v>0.35021888680425267</v>
      </c>
    </row>
    <row r="14" spans="1:11" ht="15" customHeight="1" x14ac:dyDescent="0.35">
      <c r="A14" s="17" t="s">
        <v>76</v>
      </c>
      <c r="B14" s="17" t="s">
        <v>49</v>
      </c>
      <c r="C14" s="17" t="s">
        <v>35</v>
      </c>
      <c r="D14" s="18">
        <v>449</v>
      </c>
      <c r="E14" s="18">
        <v>251</v>
      </c>
      <c r="F14" s="19">
        <f t="shared" si="0"/>
        <v>0.44097995545657015</v>
      </c>
    </row>
    <row r="15" spans="1:11" ht="15" customHeight="1" x14ac:dyDescent="0.35">
      <c r="A15" s="6" t="s">
        <v>77</v>
      </c>
      <c r="B15" s="6" t="s">
        <v>50</v>
      </c>
      <c r="C15" s="6" t="s">
        <v>35</v>
      </c>
      <c r="D15" s="20">
        <v>299</v>
      </c>
      <c r="E15" s="20">
        <v>176</v>
      </c>
      <c r="F15" s="21">
        <f t="shared" si="0"/>
        <v>0.41137123745819398</v>
      </c>
    </row>
    <row r="16" spans="1:11" ht="15" customHeight="1" x14ac:dyDescent="0.35">
      <c r="A16" s="17" t="s">
        <v>78</v>
      </c>
      <c r="B16" s="17" t="s">
        <v>51</v>
      </c>
      <c r="C16" s="17" t="s">
        <v>35</v>
      </c>
      <c r="D16" s="18">
        <v>699</v>
      </c>
      <c r="E16" s="18">
        <v>475</v>
      </c>
      <c r="F16" s="19">
        <f t="shared" si="0"/>
        <v>0.32045779685264664</v>
      </c>
    </row>
    <row r="17" spans="1:6" ht="15" customHeight="1" x14ac:dyDescent="0.35">
      <c r="A17" s="6" t="s">
        <v>79</v>
      </c>
      <c r="B17" s="6" t="s">
        <v>52</v>
      </c>
      <c r="C17" s="6" t="s">
        <v>35</v>
      </c>
      <c r="D17" s="20">
        <v>599</v>
      </c>
      <c r="E17" s="20">
        <v>395</v>
      </c>
      <c r="F17" s="21">
        <f t="shared" si="0"/>
        <v>0.34056761268781305</v>
      </c>
    </row>
  </sheetData>
  <mergeCells count="1">
    <mergeCell ref="H1:K1"/>
  </mergeCells>
  <dataValidations count="1">
    <dataValidation type="list" sqref="I3" xr:uid="{00000000-0002-0000-0200-000000000000}">
      <formula1>$A$2:$A$17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Sales Data</vt:lpstr>
      <vt:lpstr>Product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Manoharan, Ganesh</cp:lastModifiedBy>
  <cp:revision>2</cp:revision>
  <dcterms:created xsi:type="dcterms:W3CDTF">2026-08-30T12:37:29Z</dcterms:created>
  <dcterms:modified xsi:type="dcterms:W3CDTF">2026-08-30T12:42:46Z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2026-08-30T12:42:46Z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3330fbe0-cc32-4f1c-810d-04d1d3395412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